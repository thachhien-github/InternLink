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wnloads\internlink\frontend\public\"/>
    </mc:Choice>
  </mc:AlternateContent>
  <xr:revisionPtr revIDLastSave="0" documentId="13_ncr:1_{15C498C5-4A23-4498-9CE3-0C0DD56694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H SÁCH (2)" sheetId="4" r:id="rId1"/>
    <sheet name="DATABASE" sheetId="2" r:id="rId2"/>
    <sheet name="TÊN CÔNG TY (2)" sheetId="5" r:id="rId3"/>
    <sheet name="TÊN CÔNG TY" sheetId="3" r:id="rId4"/>
  </sheets>
  <definedNames>
    <definedName name="_xlnm._FilterDatabase" localSheetId="0" hidden="1">'DANH SÁCH (2)'!$A$2:$U$52</definedName>
    <definedName name="_xlnm._FilterDatabase" localSheetId="1" hidden="1">DATABASE!$E$1:$E$52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4" l="1"/>
  <c r="L4" i="4" s="1"/>
  <c r="U3" i="4"/>
  <c r="K17" i="4"/>
  <c r="L17" i="4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25" i="4"/>
  <c r="L25" i="4" s="1"/>
  <c r="K26" i="4"/>
  <c r="L26" i="4" s="1"/>
  <c r="K27" i="4"/>
  <c r="L27" i="4" s="1"/>
  <c r="K28" i="4"/>
  <c r="L28" i="4" s="1"/>
  <c r="K29" i="4"/>
  <c r="L29" i="4" s="1"/>
  <c r="K30" i="4"/>
  <c r="L30" i="4" s="1"/>
  <c r="K31" i="4"/>
  <c r="L31" i="4" s="1"/>
  <c r="K32" i="4"/>
  <c r="L32" i="4" s="1"/>
  <c r="K33" i="4"/>
  <c r="L33" i="4" s="1"/>
  <c r="K34" i="4"/>
  <c r="L34" i="4" s="1"/>
  <c r="K35" i="4"/>
  <c r="L35" i="4" s="1"/>
  <c r="K36" i="4"/>
  <c r="L36" i="4" s="1"/>
  <c r="K37" i="4"/>
  <c r="L37" i="4" s="1"/>
  <c r="K38" i="4"/>
  <c r="L38" i="4" s="1"/>
  <c r="K39" i="4"/>
  <c r="L39" i="4" s="1"/>
  <c r="K40" i="4"/>
  <c r="L40" i="4" s="1"/>
  <c r="K41" i="4"/>
  <c r="L41" i="4" s="1"/>
  <c r="K42" i="4"/>
  <c r="L42" i="4" s="1"/>
  <c r="K43" i="4"/>
  <c r="L43" i="4" s="1"/>
  <c r="K44" i="4"/>
  <c r="L44" i="4" s="1"/>
  <c r="K45" i="4"/>
  <c r="L45" i="4" s="1"/>
  <c r="K46" i="4"/>
  <c r="L46" i="4" s="1"/>
  <c r="K47" i="4"/>
  <c r="L47" i="4" s="1"/>
  <c r="K48" i="4"/>
  <c r="L48" i="4" s="1"/>
  <c r="K49" i="4"/>
  <c r="L49" i="4" s="1"/>
  <c r="K50" i="4"/>
  <c r="L50" i="4" s="1"/>
  <c r="K51" i="4"/>
  <c r="L51" i="4" s="1"/>
  <c r="K52" i="4"/>
  <c r="L52" i="4" s="1"/>
  <c r="K5" i="4"/>
  <c r="L5" i="4" s="1"/>
  <c r="K6" i="4"/>
  <c r="L6" i="4" s="1"/>
  <c r="K7" i="4"/>
  <c r="K8" i="4"/>
  <c r="L8" i="4" s="1"/>
  <c r="K9" i="4"/>
  <c r="L9" i="4" s="1"/>
  <c r="K10" i="4"/>
  <c r="L10" i="4" s="1"/>
  <c r="K11" i="4"/>
  <c r="L11" i="4" s="1"/>
  <c r="K12" i="4"/>
  <c r="L12" i="4" s="1"/>
  <c r="K13" i="4"/>
  <c r="L13" i="4" s="1"/>
  <c r="K14" i="4"/>
  <c r="L14" i="4" s="1"/>
  <c r="K15" i="4"/>
  <c r="L15" i="4" s="1"/>
  <c r="K16" i="4"/>
  <c r="L16" i="4" s="1"/>
  <c r="K3" i="4"/>
  <c r="L3" i="4" s="1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D26" i="5"/>
  <c r="D17" i="3"/>
  <c r="L7" i="4"/>
  <c r="M69" i="4" l="1"/>
  <c r="M71" i="4"/>
  <c r="M70" i="4"/>
  <c r="M65" i="4"/>
  <c r="M67" i="4"/>
  <c r="M66" i="4"/>
  <c r="M68" i="4"/>
  <c r="M72" i="4" l="1"/>
  <c r="N68" i="4" s="1"/>
  <c r="N69" i="4" l="1"/>
  <c r="N71" i="4"/>
  <c r="N70" i="4"/>
  <c r="N65" i="4"/>
  <c r="N67" i="4"/>
  <c r="O68" i="4" s="1"/>
  <c r="N66" i="4"/>
  <c r="O69" i="4" l="1"/>
</calcChain>
</file>

<file path=xl/sharedStrings.xml><?xml version="1.0" encoding="utf-8"?>
<sst xmlns="http://schemas.openxmlformats.org/spreadsheetml/2006/main" count="315" uniqueCount="177">
  <si>
    <t>STT</t>
  </si>
  <si>
    <t>LỚP</t>
  </si>
  <si>
    <t>CÔNG TY THỰC TẬP</t>
  </si>
  <si>
    <t>PHỤ TRÁCH CÔNG TY</t>
  </si>
  <si>
    <t>GV HƯỚNG DẪN
 THỰC TẬP</t>
  </si>
  <si>
    <t xml:space="preserve">292/33/10 Bình Lợi phường 13 quận Bình Thạnh </t>
  </si>
  <si>
    <t>Lê Nguyên Vỹ</t>
  </si>
  <si>
    <t>Công ty Cổ phần FUJINET SYSTEMS</t>
  </si>
  <si>
    <t>Tòa nhà Waseco, số 10, Phổ Quang, P.2, Q. Tân Bình</t>
  </si>
  <si>
    <t>Nguyễn Văn Trung</t>
  </si>
  <si>
    <t>Cty Cổ Phần Sản Xuất May Mặc Y2010</t>
  </si>
  <si>
    <t>449/15 Sư Vạn Hạnh, Phường 12, Quận 10</t>
  </si>
  <si>
    <t>Anh Triều</t>
  </si>
  <si>
    <t>Tên Công Ty</t>
  </si>
  <si>
    <t>Địa Chỉ</t>
  </si>
  <si>
    <t>Số Lượng</t>
  </si>
  <si>
    <t>Liên Hệ</t>
  </si>
  <si>
    <t>CÔNG TY TNHH MTV THƯƠNG MẠI DỊCH VỤ XUẤT NHẬP KHẨU VÕ DŨNG</t>
  </si>
  <si>
    <t>90 Lê Văn Chí, Phường Linh Trung, Thủ Đức</t>
  </si>
  <si>
    <t>Lưu Tấn Cường</t>
  </si>
  <si>
    <t>CÔNG TY TNHH DỤNG CỤ DETAILING</t>
  </si>
  <si>
    <t>309 Nguyễn Gia Trí, Phường 25, Quận Bình Thạnh</t>
  </si>
  <si>
    <t>Phạm Văn Thành</t>
  </si>
  <si>
    <t>Công ty TNHH thiết kế và quảng cáo Tivatech</t>
  </si>
  <si>
    <t>CÔNG TY TNHH ĐIỆN TỬ - VIỄN THÔNG GIA NGỌC VIỆT</t>
  </si>
  <si>
    <t>Số 17 Đường 34, khu phố 5, Phường An Phú, Thành phố Thủ Đức</t>
  </si>
  <si>
    <t>Chị Hằng</t>
  </si>
  <si>
    <t>Công ty Cổ Phần Giải Pháp Cảng và Hậu Cần</t>
  </si>
  <si>
    <t>31/10 Tân trụ, P.15, Tân bình</t>
  </si>
  <si>
    <t>Lầu 3, Tòa nhà SaigonTel, Lô 46, CVPM Quang Trung, P. Tân Chánh Hiệp, Q. 12</t>
  </si>
  <si>
    <t>Công ty TNHH Thương mại dịch vụ NiNa</t>
  </si>
  <si>
    <t>Anh Tiến</t>
  </si>
  <si>
    <t>CÔNG TY CỔ PHẦN LOGISTICS U&amp;I</t>
  </si>
  <si>
    <t>GHI CHÚ</t>
  </si>
  <si>
    <t>HD CHUNG</t>
  </si>
  <si>
    <t>TUẦN 1</t>
  </si>
  <si>
    <t>TUẦN 2</t>
  </si>
  <si>
    <t>TUẦN 3</t>
  </si>
  <si>
    <t>TUẦN 4</t>
  </si>
  <si>
    <t>TUẦN 5</t>
  </si>
  <si>
    <t>Công ty TNHH Giải Pháp Tiên Khanh</t>
  </si>
  <si>
    <t>939 Phạm Văn Bạch, phường 12, quận Gò Vấp</t>
  </si>
  <si>
    <t>Anh Tiên
0909 22 10 13</t>
  </si>
  <si>
    <t>Anh Cường
093 797 56 78</t>
  </si>
  <si>
    <t>Tập Đoàn Mega Holdings</t>
  </si>
  <si>
    <t>Số 34 Bạch Đằng, Phường 2, Tân Bình</t>
  </si>
  <si>
    <t>Điểm tham gia</t>
  </si>
  <si>
    <t>TỔNG</t>
  </si>
  <si>
    <t>NỘP BC</t>
  </si>
  <si>
    <t>DANH SÁCH SINH VIÊN THỰC TẬP TẠI DOANH NGHIỆP KHÓA C23</t>
  </si>
  <si>
    <t>C23A.TH2</t>
  </si>
  <si>
    <t>C23A.TH1</t>
  </si>
  <si>
    <t>C22A.TH</t>
  </si>
  <si>
    <t>Công ty TNHH Giải pháp Công nghệ SLK</t>
  </si>
  <si>
    <t>Quốc Tùng C19</t>
  </si>
  <si>
    <t>HỌ</t>
  </si>
  <si>
    <t>TÊN</t>
  </si>
  <si>
    <t>351B Nơ Trang Long, Phường 13, Quận Bình Thạnh</t>
  </si>
  <si>
    <t>CÔNG TY TNHH SUN SMART</t>
  </si>
  <si>
    <t>Số 699 Nguyễn Kiệm, Phường Hạnh Thông, Thành phố Hồ Chí Minh</t>
  </si>
  <si>
    <t>Lâm Sĩ Thành</t>
  </si>
  <si>
    <t>Công Ty TNHH Trường Thịnh Group</t>
  </si>
  <si>
    <t>881 Phan Văn Trị, Phường 1, Gò Vấp, TP.HCM</t>
  </si>
  <si>
    <t>Công ty TNHH Di4L</t>
  </si>
  <si>
    <t>23 Phạm Thị Kỳ, Phú Xuân, Nhà Bè, TP HCM</t>
  </si>
  <si>
    <t>Trần Xuân Bình</t>
  </si>
  <si>
    <t>Nguyễn Phúc Hưng</t>
  </si>
  <si>
    <t>0865207989</t>
  </si>
  <si>
    <t>0707096625</t>
  </si>
  <si>
    <t>Công ty TNHH Dịch vụ công nghệ LIS</t>
  </si>
  <si>
    <t>Thông</t>
  </si>
  <si>
    <t>Công ty CP Truyền thông Bright Star</t>
  </si>
  <si>
    <t>4/6b Văn Chung, Phường 13, Quận Tân Bình, Thành phố Hồ Chí Minh</t>
  </si>
  <si>
    <t xml:space="preserve">Anh Nghĩa </t>
  </si>
  <si>
    <t>5 giang văn minh, An phú, HCM</t>
  </si>
  <si>
    <t>Thu</t>
  </si>
  <si>
    <t>Công ty TNHH TM DV Trí Lực Việt</t>
  </si>
  <si>
    <t>Công ty cổ phần EZTEC</t>
  </si>
  <si>
    <t>Công ty TNHH Lampart</t>
  </si>
  <si>
    <t>Công ty Cổ phần Công nghệ RADA360</t>
  </si>
  <si>
    <t>114 Đường số 2, Cư xá Đô Thành, Phường Bàn Cờ</t>
  </si>
  <si>
    <t>Công ty TNHH Tư Vấn &amp; Đào Tạo Đại Dương</t>
  </si>
  <si>
    <t>25 Đ. Số 23, Linh Chiểu, Thủ Đức, Hồ Chí Minh</t>
  </si>
  <si>
    <t>Công Ty TNHH công nghệ phần mềm Nasani</t>
  </si>
  <si>
    <t>Lầu 1 Tòa nhà Saigon ICT, Lô 46 Công viên phần mềm Quang Trung, Phường Trung Mỹ Tây</t>
  </si>
  <si>
    <t xml:space="preserve">CÔNG TY TNHH CÔNG NGHỆ KỸ THUẬT Ô TÔ TCT </t>
  </si>
  <si>
    <t>Tầng 5, Tòa Nhà TTM Building, Số 309 Bạch Đằng</t>
  </si>
  <si>
    <t>PHẠM THÀNH CÔNG</t>
  </si>
  <si>
    <t>Face</t>
  </si>
  <si>
    <t xml:space="preserve">Cty TNHH Công nghệ kỹ thuật  Ô TÔ TCT </t>
  </si>
  <si>
    <t>Nguyễn Phi Long</t>
  </si>
  <si>
    <t>Huỳnh Văn Trương</t>
  </si>
  <si>
    <t>Nguyễn Quốc Đạt</t>
  </si>
  <si>
    <t>Hà Tuấn Anh</t>
  </si>
  <si>
    <t>HỌ TÊN</t>
  </si>
  <si>
    <t>Phạm Thành Đạt</t>
  </si>
  <si>
    <t>Phạm Huỳnh Anh</t>
  </si>
  <si>
    <t>Trịnh Gia Hào</t>
  </si>
  <si>
    <t>Nguyễn Lê Minh Khôi</t>
  </si>
  <si>
    <t>Nguyễn Hữu Luân</t>
  </si>
  <si>
    <t>Trần Minh Tâm</t>
  </si>
  <si>
    <t>Nguyễn Hiền Vy</t>
  </si>
  <si>
    <t>Trần Thanh Tuấn</t>
  </si>
  <si>
    <t>Lê Quang Bảo</t>
  </si>
  <si>
    <t>Trần Nguyễn Thành Đạt</t>
  </si>
  <si>
    <t>Lê Văn Hoàng Hiếu</t>
  </si>
  <si>
    <t>Dương Tự Lực</t>
  </si>
  <si>
    <t>Liêu Hoàng Phúc</t>
  </si>
  <si>
    <t>Lê Văn Thắng</t>
  </si>
  <si>
    <t>Phạm Duy Văn</t>
  </si>
  <si>
    <t>Nguyễn Thanh An</t>
  </si>
  <si>
    <t>Nguyễn Thị Chung</t>
  </si>
  <si>
    <t>Võ Quốc Đạt</t>
  </si>
  <si>
    <t>Nguyễn Tuấn Kiệt</t>
  </si>
  <si>
    <t>Nguyễn Văn Nam</t>
  </si>
  <si>
    <t>Thành Xuân Phúc</t>
  </si>
  <si>
    <t>Phạm Đức Trọng</t>
  </si>
  <si>
    <t>Lê Việt</t>
  </si>
  <si>
    <t>Vũ Xuân An</t>
  </si>
  <si>
    <t>Trần Nhật Cường</t>
  </si>
  <si>
    <t>Đặng Khánh Duy</t>
  </si>
  <si>
    <t>Ngô Trung Hiếu Kiên</t>
  </si>
  <si>
    <t>Nguyễn Ngọc Linh</t>
  </si>
  <si>
    <t>Võ Minh Nam</t>
  </si>
  <si>
    <t>Nguyễn Minh Quân</t>
  </si>
  <si>
    <t>Nguyễn Đoàn Thanh Vũ</t>
  </si>
  <si>
    <t>Nguyễn Huỳnh Hoàng Anh</t>
  </si>
  <si>
    <t>Phùng Thị Ngọc Hân</t>
  </si>
  <si>
    <t>Võ Lê Tường Khánh</t>
  </si>
  <si>
    <t>Lê Minh Luân</t>
  </si>
  <si>
    <t>Trần Quang Nhã</t>
  </si>
  <si>
    <t>Chhom Ri</t>
  </si>
  <si>
    <t>Nguyễn Thanh Tú</t>
  </si>
  <si>
    <t>Lê Văn Thành Đạt</t>
  </si>
  <si>
    <t>Nguyễn Phước Duy</t>
  </si>
  <si>
    <t>Bùi Thiên Huy</t>
  </si>
  <si>
    <t>K Pă Y San Hy</t>
  </si>
  <si>
    <t>Lê Thế Nguyên</t>
  </si>
  <si>
    <t>Nguyễn Hoàng Phú</t>
  </si>
  <si>
    <t>Vũ Minh Quân</t>
  </si>
  <si>
    <t>Nguyễn Xuân Trường</t>
  </si>
  <si>
    <t>Công ty TNHH SUN SMART</t>
  </si>
  <si>
    <t>Công ty TNHH Điện Tử - Viễn thông Gia Ngọc Việt</t>
  </si>
  <si>
    <t>Công ty cổ phần Truyền thông Bright Star</t>
  </si>
  <si>
    <t>Công ty cổ phần truyền thông Bright Star</t>
  </si>
  <si>
    <t>24/10 Đường 31, Bình Trưng Tây</t>
  </si>
  <si>
    <t>Số 17 Đường 34, khu phố 5, Phường An Phú</t>
  </si>
  <si>
    <t>939 Phạm Văn Bạch, Phường 12, quận Gò Vấp</t>
  </si>
  <si>
    <t>5 Giang Văn Minh, An phú, HCM</t>
  </si>
  <si>
    <t>Lầu 1 Tòa nhà Saigon ICT, Lô 46 CV Phần Mềm Quang Trung, Phường Trung Mỹ Tây</t>
  </si>
  <si>
    <t>Công ty TNHH Điện tử viễn thông Gia Ngọc Việt</t>
  </si>
  <si>
    <t xml:space="preserve">Công ty TNHH Công nghệ kỹ thuật ÔTÔ TCT </t>
  </si>
  <si>
    <t>TUẦN 6</t>
  </si>
  <si>
    <t>Điểm QT</t>
  </si>
  <si>
    <t>Thi</t>
  </si>
  <si>
    <t>C</t>
  </si>
  <si>
    <t>Điểm TB</t>
  </si>
  <si>
    <t>Kết quả
xếp loại</t>
  </si>
  <si>
    <t>BẢNG THỐNG KÊ THEO THANG ĐIỂM QUY ĐỔI</t>
  </si>
  <si>
    <t>Hệ 10</t>
  </si>
  <si>
    <t>Hệ 4</t>
  </si>
  <si>
    <t>Điểm chữ</t>
  </si>
  <si>
    <t>F</t>
  </si>
  <si>
    <t>D</t>
  </si>
  <si>
    <t>C+</t>
  </si>
  <si>
    <t>B</t>
  </si>
  <si>
    <t>B+</t>
  </si>
  <si>
    <t>A</t>
  </si>
  <si>
    <t>Xuất sắc</t>
  </si>
  <si>
    <t>Giỏi</t>
  </si>
  <si>
    <t>Khá</t>
  </si>
  <si>
    <t>Trung bình khá</t>
  </si>
  <si>
    <t>Trung bình</t>
  </si>
  <si>
    <t>yếu</t>
  </si>
  <si>
    <t>không thực tập</t>
  </si>
  <si>
    <t>Xếp loại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</si>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</sst>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rial"/>
      <charset val="134"/>
      <scheme val="minor"/>
    </font>
    <font>
      <sz val="13"/>
      <color theme="1"/>
      <name val="Times New Roman"/>
      <family val="2"/>
    </font>
    <font>
      <sz val="13"/>
      <color theme="1"/>
      <name val="Times New Roman"/>
      <charset val="134"/>
    </font>
    <font>
      <b/>
      <sz val="13"/>
      <color theme="1"/>
      <name val="Times New Roman"/>
      <charset val="134"/>
    </font>
    <font>
      <b/>
      <sz val="11"/>
      <color theme="1"/>
      <name val="Arial"/>
      <charset val="134"/>
      <scheme val="minor"/>
    </font>
    <font>
      <b/>
      <sz val="18"/>
      <color theme="1"/>
      <name val="Times New Roman"/>
      <charset val="134"/>
    </font>
    <font>
      <u/>
      <sz val="11"/>
      <color rgb="FF0000FF"/>
      <name val="Arial"/>
      <charset val="134"/>
      <scheme val="minor"/>
    </font>
    <font>
      <sz val="13"/>
      <color theme="1"/>
      <name val="Times New Roman"/>
      <family val="1"/>
    </font>
    <font>
      <sz val="8"/>
      <name val="Arial"/>
      <charset val="134"/>
      <scheme val="minor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1"/>
      <color theme="1"/>
      <name val="Arial"/>
      <family val="2"/>
      <scheme val="minor"/>
    </font>
    <font>
      <b/>
      <sz val="13"/>
      <color rgb="FFFF0000"/>
      <name val="Times New Roman"/>
      <family val="1"/>
    </font>
    <font>
      <u/>
      <sz val="13"/>
      <color rgb="FF0000FF"/>
      <name val="Times New Roman"/>
      <family val="1"/>
    </font>
    <font>
      <sz val="13"/>
      <color rgb="FF081B3A"/>
      <name val="Times New Roman"/>
      <family val="1"/>
    </font>
    <font>
      <sz val="11"/>
      <color rgb="FF081B3A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3"/>
      <color theme="0"/>
      <name val="Times New Roman"/>
      <family val="1"/>
    </font>
    <font>
      <sz val="11"/>
      <color theme="0"/>
      <name val="Times New Roman"/>
      <family val="1"/>
    </font>
    <font>
      <sz val="13"/>
      <color rgb="FF0070C0"/>
      <name val="Times New Roman"/>
      <family val="1"/>
    </font>
    <font>
      <sz val="13"/>
      <color theme="1"/>
      <name val="Arial"/>
      <family val="2"/>
      <scheme val="minor"/>
    </font>
    <font>
      <b/>
      <sz val="11"/>
      <color theme="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1"/>
      <name val="VNI-Times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3" fillId="0" borderId="0">
      <alignment wrapText="1"/>
    </xf>
    <xf numFmtId="0" fontId="25" fillId="0" borderId="0"/>
  </cellStyleXfs>
  <cellXfs count="5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1" xfId="0" applyFont="1" applyBorder="1" applyAlignment="1"/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9" fillId="0" borderId="4" xfId="0" quotePrefix="1" applyFont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4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8" fillId="0" borderId="1" xfId="0" applyFont="1" applyBorder="1" applyAlignment="1"/>
    <xf numFmtId="0" fontId="18" fillId="0" borderId="1" xfId="0" applyFont="1" applyBorder="1">
      <alignment vertical="center"/>
    </xf>
    <xf numFmtId="0" fontId="18" fillId="0" borderId="1" xfId="0" applyFont="1" applyBorder="1" applyAlignment="1">
      <alignment vertical="center" wrapText="1"/>
    </xf>
    <xf numFmtId="0" fontId="19" fillId="0" borderId="1" xfId="0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2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22" fillId="5" borderId="1" xfId="2" applyFont="1" applyBorder="1" applyAlignment="1">
      <alignment horizontal="center" vertical="center" wrapText="1"/>
    </xf>
    <xf numFmtId="0" fontId="24" fillId="0" borderId="1" xfId="4" applyFont="1" applyBorder="1" applyAlignment="1">
      <alignment horizontal="center" vertical="center" wrapText="1"/>
    </xf>
    <xf numFmtId="0" fontId="24" fillId="0" borderId="1" xfId="5" applyFont="1" applyBorder="1" applyAlignment="1">
      <alignment horizontal="center" vertical="center"/>
    </xf>
    <xf numFmtId="0" fontId="22" fillId="5" borderId="5" xfId="2" applyFont="1" applyBorder="1" applyAlignment="1">
      <alignment horizontal="center" vertical="center" wrapText="1"/>
    </xf>
    <xf numFmtId="10" fontId="17" fillId="0" borderId="0" xfId="0" applyNumberFormat="1" applyFont="1" applyAlignment="1">
      <alignment horizontal="center" vertical="center" wrapText="1"/>
    </xf>
    <xf numFmtId="10" fontId="17" fillId="0" borderId="0" xfId="0" applyNumberFormat="1" applyFont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22" fillId="6" borderId="1" xfId="3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6">
    <cellStyle name="20% - Accent5" xfId="2" builtinId="46"/>
    <cellStyle name="40% - Accent5" xfId="3" builtinId="47"/>
    <cellStyle name="Hyperlink" xfId="1" builtinId="8"/>
    <cellStyle name="Normal" xfId="0" builtinId="0"/>
    <cellStyle name="Normal 5" xfId="5" xr:uid="{A5877D73-19CB-4946-B256-DAB5AD4A69D5}"/>
    <cellStyle name="Normal 6" xfId="4" xr:uid="{ADCF5687-B0E7-4AEB-8D10-02469FEEBF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1889-94F1-4FA7-8AB0-DA23889E3237}">
  <dimension ref="A1:U72"/>
  <sheetViews>
    <sheetView tabSelected="1" zoomScale="80" zoomScaleNormal="80" workbookViewId="0">
      <selection activeCell="A3" sqref="A3"/>
    </sheetView>
  </sheetViews>
  <sheetFormatPr defaultColWidth="9" defaultRowHeight="13.8"/>
  <cols>
    <col min="2" max="2" width="23.8984375" customWidth="1"/>
    <col min="3" max="3" width="8.8984375" customWidth="1"/>
    <col min="4" max="4" width="14.296875" customWidth="1"/>
    <col min="5" max="5" width="56.69921875" style="27" customWidth="1"/>
    <col min="6" max="6" width="26.3984375" customWidth="1"/>
    <col min="7" max="7" width="12.296875" customWidth="1"/>
    <col min="8" max="8" width="18.69921875" style="16" customWidth="1"/>
    <col min="9" max="12" width="16.3984375" customWidth="1"/>
    <col min="13" max="13" width="10.09765625" customWidth="1"/>
    <col min="14" max="14" width="8.69921875" style="45" customWidth="1"/>
    <col min="15" max="20" width="8.69921875" style="46" customWidth="1"/>
    <col min="21" max="21" width="25.09765625" style="43" customWidth="1"/>
  </cols>
  <sheetData>
    <row r="1" spans="1:21" s="3" customFormat="1" ht="39.75" customHeight="1">
      <c r="A1" s="56" t="s">
        <v>49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spans="1:21" ht="35.85" customHeight="1">
      <c r="A2" s="2" t="s">
        <v>0</v>
      </c>
      <c r="B2" s="2" t="s">
        <v>55</v>
      </c>
      <c r="C2" s="2" t="s">
        <v>56</v>
      </c>
      <c r="D2" s="2" t="s">
        <v>1</v>
      </c>
      <c r="E2" s="33" t="s">
        <v>3</v>
      </c>
      <c r="F2" s="29" t="s">
        <v>4</v>
      </c>
      <c r="G2" s="11" t="s">
        <v>33</v>
      </c>
      <c r="H2" s="11" t="s">
        <v>46</v>
      </c>
      <c r="I2" s="2" t="s">
        <v>153</v>
      </c>
      <c r="J2" s="47" t="s">
        <v>154</v>
      </c>
      <c r="K2" s="47" t="s">
        <v>156</v>
      </c>
      <c r="L2" s="49" t="s">
        <v>157</v>
      </c>
      <c r="M2" s="33" t="s">
        <v>34</v>
      </c>
      <c r="N2" s="29" t="s">
        <v>35</v>
      </c>
      <c r="O2" s="29" t="s">
        <v>36</v>
      </c>
      <c r="P2" s="29" t="s">
        <v>37</v>
      </c>
      <c r="Q2" s="29" t="s">
        <v>38</v>
      </c>
      <c r="R2" s="29" t="s">
        <v>39</v>
      </c>
      <c r="S2" s="29" t="s">
        <v>152</v>
      </c>
      <c r="T2" s="29" t="s">
        <v>48</v>
      </c>
      <c r="U2" s="10" t="s">
        <v>47</v>
      </c>
    </row>
    <row r="3" spans="1:21" ht="24.75" customHeight="1">
      <c r="A3" s="12"/>
      <c r="B3" s="6"/>
      <c r="C3" s="6"/>
      <c r="D3" s="6"/>
      <c r="E3" s="8"/>
      <c r="F3" s="13"/>
      <c r="G3" s="4"/>
      <c r="H3" s="10"/>
      <c r="I3" s="4"/>
      <c r="J3" s="48"/>
      <c r="K3" s="48">
        <f>I3*0.4+J3*0.6</f>
        <v>0</v>
      </c>
      <c r="L3" s="48" t="str">
        <f t="shared" ref="L3:L34" si="0">VLOOKUP(K3,$I$64:$L$71,4,1)</f>
        <v>không thực tập</v>
      </c>
      <c r="M3" s="4"/>
      <c r="N3" s="7"/>
      <c r="O3" s="7"/>
      <c r="P3" s="7"/>
      <c r="Q3" s="7"/>
      <c r="R3" s="7"/>
      <c r="S3" s="7"/>
      <c r="T3" s="7"/>
      <c r="U3" s="10" t="str">
        <f>IF(OR(T3="X",(COUNTIF(N3:S3,"V")&gt;=2)),"Không đủ điều kiện","")</f>
        <v/>
      </c>
    </row>
    <row r="4" spans="1:21" ht="24.75" customHeight="1">
      <c r="A4" s="12"/>
      <c r="B4" s="6"/>
      <c r="C4" s="6"/>
      <c r="D4" s="6"/>
      <c r="E4" s="8"/>
      <c r="F4" s="13"/>
      <c r="G4" s="4"/>
      <c r="H4" s="10"/>
      <c r="I4" s="4"/>
      <c r="J4" s="48"/>
      <c r="K4" s="48">
        <f>I4*0.4+J4*0.6</f>
        <v>0</v>
      </c>
      <c r="L4" s="48" t="str">
        <f>VLOOKUP(K4,$I$64:$L$71,4,1)</f>
        <v>không thực tập</v>
      </c>
      <c r="M4" s="4"/>
      <c r="N4" s="7"/>
      <c r="O4" s="7"/>
      <c r="P4" s="7"/>
      <c r="Q4" s="7"/>
      <c r="R4" s="7"/>
      <c r="S4" s="7"/>
      <c r="T4" s="7"/>
      <c r="U4" s="10" t="str">
        <f t="shared" ref="U4:U52" si="1">IF(OR(T4="X",(COUNTIF(N4:S4,"V")&gt;=2)),"Không đủ điều kiện","")</f>
        <v/>
      </c>
    </row>
    <row r="5" spans="1:21" ht="24.75" customHeight="1">
      <c r="A5" s="12"/>
      <c r="B5" s="6"/>
      <c r="C5" s="6"/>
      <c r="D5" s="6"/>
      <c r="E5" s="8"/>
      <c r="F5" s="13"/>
      <c r="G5" s="4"/>
      <c r="H5" s="10"/>
      <c r="I5" s="4"/>
      <c r="J5" s="48"/>
      <c r="K5" s="48">
        <f t="shared" ref="K4:K52" si="2">I5*0.4+J5*0.6</f>
        <v>0</v>
      </c>
      <c r="L5" s="48" t="str">
        <f t="shared" si="0"/>
        <v>không thực tập</v>
      </c>
      <c r="M5" s="4"/>
      <c r="N5" s="7"/>
      <c r="O5" s="7"/>
      <c r="P5" s="7"/>
      <c r="Q5" s="7"/>
      <c r="R5" s="7"/>
      <c r="S5" s="7"/>
      <c r="T5" s="7"/>
      <c r="U5" s="10" t="str">
        <f t="shared" si="1"/>
        <v/>
      </c>
    </row>
    <row r="6" spans="1:21" ht="24.75" customHeight="1">
      <c r="A6" s="12"/>
      <c r="B6" s="6"/>
      <c r="C6" s="6"/>
      <c r="D6" s="6"/>
      <c r="E6" s="6"/>
      <c r="F6" s="13"/>
      <c r="G6" s="4"/>
      <c r="H6" s="10"/>
      <c r="I6" s="4"/>
      <c r="J6" s="48"/>
      <c r="K6" s="48">
        <f t="shared" si="2"/>
        <v>0</v>
      </c>
      <c r="L6" s="48" t="str">
        <f t="shared" si="0"/>
        <v>không thực tập</v>
      </c>
      <c r="M6" s="4"/>
      <c r="N6" s="7"/>
      <c r="O6" s="7"/>
      <c r="P6" s="7"/>
      <c r="Q6" s="7"/>
      <c r="R6" s="7"/>
      <c r="S6" s="7"/>
      <c r="T6" s="7"/>
      <c r="U6" s="10" t="str">
        <f t="shared" si="1"/>
        <v/>
      </c>
    </row>
    <row r="7" spans="1:21" ht="24.75" customHeight="1">
      <c r="A7" s="12"/>
      <c r="B7" s="6"/>
      <c r="C7" s="6"/>
      <c r="D7" s="6"/>
      <c r="E7" s="8"/>
      <c r="F7" s="13"/>
      <c r="G7" s="4"/>
      <c r="H7" s="10"/>
      <c r="I7" s="4"/>
      <c r="J7" s="48"/>
      <c r="K7" s="48">
        <f t="shared" si="2"/>
        <v>0</v>
      </c>
      <c r="L7" s="48" t="str">
        <f t="shared" si="0"/>
        <v>không thực tập</v>
      </c>
      <c r="M7" s="4"/>
      <c r="N7" s="7"/>
      <c r="O7" s="7"/>
      <c r="P7" s="7"/>
      <c r="Q7" s="7"/>
      <c r="R7" s="7"/>
      <c r="S7" s="7"/>
      <c r="T7" s="7"/>
      <c r="U7" s="10" t="str">
        <f t="shared" si="1"/>
        <v/>
      </c>
    </row>
    <row r="8" spans="1:21" ht="24.75" customHeight="1">
      <c r="A8" s="12"/>
      <c r="B8" s="6"/>
      <c r="C8" s="6"/>
      <c r="D8" s="6"/>
      <c r="E8" s="8"/>
      <c r="F8" s="13"/>
      <c r="G8" s="4"/>
      <c r="H8" s="14"/>
      <c r="I8" s="4"/>
      <c r="J8" s="48"/>
      <c r="K8" s="48">
        <f t="shared" si="2"/>
        <v>0</v>
      </c>
      <c r="L8" s="48" t="str">
        <f t="shared" si="0"/>
        <v>không thực tập</v>
      </c>
      <c r="M8" s="4"/>
      <c r="N8" s="7"/>
      <c r="O8" s="7"/>
      <c r="P8" s="7"/>
      <c r="Q8" s="7"/>
      <c r="R8" s="7"/>
      <c r="S8" s="7"/>
      <c r="T8" s="7"/>
      <c r="U8" s="10" t="str">
        <f t="shared" si="1"/>
        <v/>
      </c>
    </row>
    <row r="9" spans="1:21" ht="24.75" customHeight="1">
      <c r="A9" s="12"/>
      <c r="B9" s="6"/>
      <c r="C9" s="6"/>
      <c r="D9" s="6"/>
      <c r="E9" s="8"/>
      <c r="F9" s="13"/>
      <c r="G9" s="4"/>
      <c r="H9" s="10"/>
      <c r="I9" s="4"/>
      <c r="J9" s="48"/>
      <c r="K9" s="48">
        <f t="shared" si="2"/>
        <v>0</v>
      </c>
      <c r="L9" s="48" t="str">
        <f t="shared" si="0"/>
        <v>không thực tập</v>
      </c>
      <c r="M9" s="4"/>
      <c r="N9" s="7"/>
      <c r="O9" s="7"/>
      <c r="P9" s="7"/>
      <c r="Q9" s="7"/>
      <c r="R9" s="7"/>
      <c r="S9" s="7"/>
      <c r="T9" s="7"/>
      <c r="U9" s="10" t="str">
        <f t="shared" si="1"/>
        <v/>
      </c>
    </row>
    <row r="10" spans="1:21" ht="24.75" customHeight="1">
      <c r="A10" s="12"/>
      <c r="B10" s="6"/>
      <c r="C10" s="6"/>
      <c r="D10" s="6"/>
      <c r="E10" s="8"/>
      <c r="F10" s="13"/>
      <c r="G10" s="4"/>
      <c r="H10" s="10"/>
      <c r="I10" s="4"/>
      <c r="J10" s="48"/>
      <c r="K10" s="48">
        <f t="shared" si="2"/>
        <v>0</v>
      </c>
      <c r="L10" s="48" t="str">
        <f t="shared" si="0"/>
        <v>không thực tập</v>
      </c>
      <c r="M10" s="4"/>
      <c r="N10" s="7"/>
      <c r="O10" s="7"/>
      <c r="P10" s="7"/>
      <c r="Q10" s="7"/>
      <c r="R10" s="7"/>
      <c r="S10" s="7"/>
      <c r="T10" s="7"/>
      <c r="U10" s="10" t="str">
        <f t="shared" si="1"/>
        <v/>
      </c>
    </row>
    <row r="11" spans="1:21" ht="24.75" customHeight="1">
      <c r="A11" s="12"/>
      <c r="B11" s="6"/>
      <c r="C11" s="6"/>
      <c r="D11" s="6"/>
      <c r="E11" s="8"/>
      <c r="F11" s="13"/>
      <c r="G11" s="4"/>
      <c r="H11" s="10"/>
      <c r="I11" s="4"/>
      <c r="J11" s="48"/>
      <c r="K11" s="48">
        <f t="shared" si="2"/>
        <v>0</v>
      </c>
      <c r="L11" s="48" t="str">
        <f t="shared" si="0"/>
        <v>không thực tập</v>
      </c>
      <c r="M11" s="4"/>
      <c r="N11" s="7"/>
      <c r="O11" s="7"/>
      <c r="P11" s="7"/>
      <c r="Q11" s="7"/>
      <c r="R11" s="7"/>
      <c r="S11" s="7"/>
      <c r="T11" s="7"/>
      <c r="U11" s="10" t="str">
        <f t="shared" si="1"/>
        <v/>
      </c>
    </row>
    <row r="12" spans="1:21" ht="24.75" customHeight="1">
      <c r="A12" s="12"/>
      <c r="B12" s="6"/>
      <c r="C12" s="6"/>
      <c r="D12" s="6"/>
      <c r="E12" s="8"/>
      <c r="F12" s="13"/>
      <c r="G12" s="4"/>
      <c r="H12" s="10"/>
      <c r="I12" s="4"/>
      <c r="J12" s="48"/>
      <c r="K12" s="48">
        <f t="shared" si="2"/>
        <v>0</v>
      </c>
      <c r="L12" s="48" t="str">
        <f t="shared" si="0"/>
        <v>không thực tập</v>
      </c>
      <c r="M12" s="4"/>
      <c r="N12" s="7"/>
      <c r="O12" s="7"/>
      <c r="P12" s="7"/>
      <c r="Q12" s="7"/>
      <c r="R12" s="7"/>
      <c r="S12" s="7"/>
      <c r="T12" s="7"/>
      <c r="U12" s="10" t="str">
        <f t="shared" si="1"/>
        <v/>
      </c>
    </row>
    <row r="13" spans="1:21" ht="24.75" customHeight="1">
      <c r="A13" s="12"/>
      <c r="B13" s="6"/>
      <c r="C13" s="6"/>
      <c r="D13" s="6"/>
      <c r="E13" s="8"/>
      <c r="F13" s="13"/>
      <c r="G13" s="4"/>
      <c r="H13" s="10"/>
      <c r="I13" s="4"/>
      <c r="J13" s="48"/>
      <c r="K13" s="48">
        <f t="shared" si="2"/>
        <v>0</v>
      </c>
      <c r="L13" s="48" t="str">
        <f t="shared" si="0"/>
        <v>không thực tập</v>
      </c>
      <c r="M13" s="4"/>
      <c r="N13" s="7"/>
      <c r="O13" s="7"/>
      <c r="P13" s="7"/>
      <c r="Q13" s="7"/>
      <c r="R13" s="7"/>
      <c r="S13" s="7"/>
      <c r="T13" s="7"/>
      <c r="U13" s="10" t="str">
        <f t="shared" si="1"/>
        <v/>
      </c>
    </row>
    <row r="14" spans="1:21" ht="24.75" customHeight="1">
      <c r="A14" s="12"/>
      <c r="B14" s="6"/>
      <c r="C14" s="6"/>
      <c r="D14" s="6"/>
      <c r="E14" s="8"/>
      <c r="F14" s="13"/>
      <c r="G14" s="4"/>
      <c r="H14" s="10"/>
      <c r="I14" s="4"/>
      <c r="J14" s="48"/>
      <c r="K14" s="48">
        <f t="shared" si="2"/>
        <v>0</v>
      </c>
      <c r="L14" s="48" t="str">
        <f t="shared" si="0"/>
        <v>không thực tập</v>
      </c>
      <c r="M14" s="4"/>
      <c r="N14" s="7"/>
      <c r="O14" s="7"/>
      <c r="P14" s="7"/>
      <c r="Q14" s="7"/>
      <c r="R14" s="7"/>
      <c r="S14" s="7"/>
      <c r="T14" s="7"/>
      <c r="U14" s="10" t="str">
        <f t="shared" si="1"/>
        <v/>
      </c>
    </row>
    <row r="15" spans="1:21" ht="24.75" customHeight="1">
      <c r="A15" s="12"/>
      <c r="B15" s="6"/>
      <c r="C15" s="6"/>
      <c r="D15" s="6"/>
      <c r="E15" s="8"/>
      <c r="F15" s="13"/>
      <c r="G15" s="4"/>
      <c r="H15" s="10"/>
      <c r="I15" s="4"/>
      <c r="J15" s="48"/>
      <c r="K15" s="48">
        <f t="shared" si="2"/>
        <v>0</v>
      </c>
      <c r="L15" s="48" t="str">
        <f t="shared" si="0"/>
        <v>không thực tập</v>
      </c>
      <c r="M15" s="4"/>
      <c r="N15" s="7"/>
      <c r="O15" s="7"/>
      <c r="P15" s="7"/>
      <c r="Q15" s="7"/>
      <c r="R15" s="7"/>
      <c r="S15" s="7"/>
      <c r="T15" s="7"/>
      <c r="U15" s="10" t="str">
        <f t="shared" si="1"/>
        <v/>
      </c>
    </row>
    <row r="16" spans="1:21" ht="24.75" customHeight="1">
      <c r="A16" s="12"/>
      <c r="B16" s="6"/>
      <c r="C16" s="6"/>
      <c r="D16" s="6"/>
      <c r="E16" s="8"/>
      <c r="F16" s="13"/>
      <c r="G16" s="4"/>
      <c r="H16" s="10"/>
      <c r="I16" s="4"/>
      <c r="J16" s="48"/>
      <c r="K16" s="48">
        <f t="shared" si="2"/>
        <v>0</v>
      </c>
      <c r="L16" s="48" t="str">
        <f t="shared" si="0"/>
        <v>không thực tập</v>
      </c>
      <c r="M16" s="4"/>
      <c r="N16" s="7"/>
      <c r="O16" s="7"/>
      <c r="P16" s="7"/>
      <c r="Q16" s="7"/>
      <c r="R16" s="7"/>
      <c r="S16" s="7"/>
      <c r="T16" s="7"/>
      <c r="U16" s="10" t="str">
        <f t="shared" si="1"/>
        <v/>
      </c>
    </row>
    <row r="17" spans="1:21" ht="24.75" customHeight="1">
      <c r="A17" s="12"/>
      <c r="B17" s="6"/>
      <c r="C17" s="6"/>
      <c r="D17" s="6"/>
      <c r="E17" s="8"/>
      <c r="F17" s="13"/>
      <c r="G17" s="4"/>
      <c r="H17" s="10"/>
      <c r="I17" s="4"/>
      <c r="J17" s="48"/>
      <c r="K17" s="48">
        <f t="shared" si="2"/>
        <v>0</v>
      </c>
      <c r="L17" s="48" t="str">
        <f t="shared" si="0"/>
        <v>không thực tập</v>
      </c>
      <c r="M17" s="4"/>
      <c r="N17" s="7"/>
      <c r="O17" s="7"/>
      <c r="P17" s="7"/>
      <c r="Q17" s="7"/>
      <c r="R17" s="7"/>
      <c r="S17" s="7"/>
      <c r="T17" s="7"/>
      <c r="U17" s="10" t="str">
        <f t="shared" si="1"/>
        <v/>
      </c>
    </row>
    <row r="18" spans="1:21" ht="24.75" customHeight="1">
      <c r="A18" s="12"/>
      <c r="B18" s="6"/>
      <c r="C18" s="6"/>
      <c r="D18" s="6"/>
      <c r="E18" s="8"/>
      <c r="F18" s="13"/>
      <c r="G18" s="4"/>
      <c r="H18" s="10"/>
      <c r="I18" s="4"/>
      <c r="J18" s="48"/>
      <c r="K18" s="48">
        <f t="shared" si="2"/>
        <v>0</v>
      </c>
      <c r="L18" s="48" t="str">
        <f t="shared" si="0"/>
        <v>không thực tập</v>
      </c>
      <c r="M18" s="4"/>
      <c r="N18" s="7"/>
      <c r="O18" s="7"/>
      <c r="P18" s="7"/>
      <c r="Q18" s="7"/>
      <c r="R18" s="7"/>
      <c r="S18" s="7"/>
      <c r="T18" s="7"/>
      <c r="U18" s="10" t="str">
        <f t="shared" si="1"/>
        <v/>
      </c>
    </row>
    <row r="19" spans="1:21" ht="24.75" customHeight="1">
      <c r="A19" s="12"/>
      <c r="B19" s="6"/>
      <c r="C19" s="6"/>
      <c r="D19" s="6"/>
      <c r="E19" s="32"/>
      <c r="F19" s="13"/>
      <c r="G19" s="4"/>
      <c r="H19" s="10"/>
      <c r="I19" s="4"/>
      <c r="J19" s="48"/>
      <c r="K19" s="48">
        <f t="shared" si="2"/>
        <v>0</v>
      </c>
      <c r="L19" s="48" t="str">
        <f t="shared" si="0"/>
        <v>không thực tập</v>
      </c>
      <c r="M19" s="4"/>
      <c r="N19" s="7"/>
      <c r="O19" s="7"/>
      <c r="P19" s="7"/>
      <c r="Q19" s="7"/>
      <c r="R19" s="7"/>
      <c r="S19" s="7"/>
      <c r="T19" s="7"/>
      <c r="U19" s="10" t="str">
        <f t="shared" si="1"/>
        <v/>
      </c>
    </row>
    <row r="20" spans="1:21" ht="24.75" customHeight="1">
      <c r="A20" s="12"/>
      <c r="B20" s="6"/>
      <c r="C20" s="6"/>
      <c r="D20" s="6"/>
      <c r="E20" s="8"/>
      <c r="F20" s="13"/>
      <c r="G20" s="4"/>
      <c r="H20" s="10"/>
      <c r="I20" s="4"/>
      <c r="J20" s="48"/>
      <c r="K20" s="48">
        <f t="shared" si="2"/>
        <v>0</v>
      </c>
      <c r="L20" s="48" t="str">
        <f t="shared" si="0"/>
        <v>không thực tập</v>
      </c>
      <c r="M20" s="4"/>
      <c r="N20" s="7"/>
      <c r="O20" s="7"/>
      <c r="P20" s="7"/>
      <c r="Q20" s="7"/>
      <c r="R20" s="7"/>
      <c r="S20" s="7"/>
      <c r="T20" s="7"/>
      <c r="U20" s="10" t="str">
        <f t="shared" si="1"/>
        <v/>
      </c>
    </row>
    <row r="21" spans="1:21" ht="24.75" customHeight="1">
      <c r="A21" s="12"/>
      <c r="B21" s="6"/>
      <c r="C21" s="6"/>
      <c r="D21" s="6"/>
      <c r="E21" s="8"/>
      <c r="F21" s="13"/>
      <c r="G21" s="4"/>
      <c r="H21" s="10"/>
      <c r="I21" s="4"/>
      <c r="J21" s="48"/>
      <c r="K21" s="48">
        <f t="shared" si="2"/>
        <v>0</v>
      </c>
      <c r="L21" s="48" t="str">
        <f t="shared" si="0"/>
        <v>không thực tập</v>
      </c>
      <c r="M21" s="4"/>
      <c r="N21" s="7"/>
      <c r="O21" s="7"/>
      <c r="P21" s="7"/>
      <c r="Q21" s="7"/>
      <c r="R21" s="7"/>
      <c r="S21" s="7"/>
      <c r="T21" s="7"/>
      <c r="U21" s="10" t="str">
        <f t="shared" si="1"/>
        <v/>
      </c>
    </row>
    <row r="22" spans="1:21" ht="24.75" customHeight="1">
      <c r="A22" s="12"/>
      <c r="B22" s="6"/>
      <c r="C22" s="6"/>
      <c r="D22" s="6"/>
      <c r="E22" s="34"/>
      <c r="F22" s="13"/>
      <c r="G22" s="4"/>
      <c r="H22" s="10"/>
      <c r="I22" s="4"/>
      <c r="J22" s="48"/>
      <c r="K22" s="48">
        <f t="shared" si="2"/>
        <v>0</v>
      </c>
      <c r="L22" s="48" t="str">
        <f t="shared" si="0"/>
        <v>không thực tập</v>
      </c>
      <c r="M22" s="4"/>
      <c r="N22" s="7"/>
      <c r="O22" s="7"/>
      <c r="P22" s="7"/>
      <c r="Q22" s="7"/>
      <c r="R22" s="7"/>
      <c r="S22" s="7"/>
      <c r="T22" s="7"/>
      <c r="U22" s="10" t="str">
        <f t="shared" si="1"/>
        <v/>
      </c>
    </row>
    <row r="23" spans="1:21" ht="24.75" customHeight="1">
      <c r="A23" s="12"/>
      <c r="B23" s="6"/>
      <c r="C23" s="6"/>
      <c r="D23" s="6"/>
      <c r="E23" s="8"/>
      <c r="F23" s="13"/>
      <c r="G23" s="4"/>
      <c r="H23" s="10"/>
      <c r="I23" s="4"/>
      <c r="J23" s="48"/>
      <c r="K23" s="48">
        <f t="shared" si="2"/>
        <v>0</v>
      </c>
      <c r="L23" s="48" t="str">
        <f t="shared" si="0"/>
        <v>không thực tập</v>
      </c>
      <c r="M23" s="4"/>
      <c r="N23" s="7"/>
      <c r="O23" s="7"/>
      <c r="P23" s="7"/>
      <c r="Q23" s="7"/>
      <c r="R23" s="7"/>
      <c r="S23" s="7"/>
      <c r="T23" s="7"/>
      <c r="U23" s="10" t="str">
        <f t="shared" si="1"/>
        <v/>
      </c>
    </row>
    <row r="24" spans="1:21" ht="24.75" customHeight="1">
      <c r="A24" s="12"/>
      <c r="B24" s="6"/>
      <c r="C24" s="6"/>
      <c r="D24" s="6"/>
      <c r="E24" s="32"/>
      <c r="F24" s="13"/>
      <c r="G24" s="4"/>
      <c r="H24" s="10"/>
      <c r="I24" s="4"/>
      <c r="J24" s="48"/>
      <c r="K24" s="48">
        <f t="shared" si="2"/>
        <v>0</v>
      </c>
      <c r="L24" s="48" t="str">
        <f t="shared" si="0"/>
        <v>không thực tập</v>
      </c>
      <c r="M24" s="4"/>
      <c r="N24" s="7"/>
      <c r="O24" s="7"/>
      <c r="P24" s="7"/>
      <c r="Q24" s="7"/>
      <c r="R24" s="7"/>
      <c r="S24" s="7"/>
      <c r="T24" s="7"/>
      <c r="U24" s="10" t="str">
        <f t="shared" si="1"/>
        <v/>
      </c>
    </row>
    <row r="25" spans="1:21" ht="24.75" customHeight="1">
      <c r="A25" s="12"/>
      <c r="B25" s="6"/>
      <c r="C25" s="6"/>
      <c r="D25" s="6"/>
      <c r="E25" s="8"/>
      <c r="F25" s="13"/>
      <c r="G25" s="4"/>
      <c r="H25" s="10"/>
      <c r="I25" s="4"/>
      <c r="J25" s="48"/>
      <c r="K25" s="48">
        <f t="shared" si="2"/>
        <v>0</v>
      </c>
      <c r="L25" s="48" t="str">
        <f t="shared" si="0"/>
        <v>không thực tập</v>
      </c>
      <c r="M25" s="4"/>
      <c r="N25" s="7"/>
      <c r="O25" s="7"/>
      <c r="P25" s="7"/>
      <c r="Q25" s="7"/>
      <c r="R25" s="7"/>
      <c r="S25" s="7"/>
      <c r="T25" s="7"/>
      <c r="U25" s="10" t="str">
        <f t="shared" si="1"/>
        <v/>
      </c>
    </row>
    <row r="26" spans="1:21" ht="24.75" customHeight="1">
      <c r="A26" s="12"/>
      <c r="B26" s="6"/>
      <c r="C26" s="6"/>
      <c r="D26" s="6"/>
      <c r="E26" s="8"/>
      <c r="F26" s="13"/>
      <c r="G26" s="4"/>
      <c r="H26" s="10"/>
      <c r="I26" s="4"/>
      <c r="J26" s="48"/>
      <c r="K26" s="48">
        <f t="shared" si="2"/>
        <v>0</v>
      </c>
      <c r="L26" s="48" t="str">
        <f t="shared" si="0"/>
        <v>không thực tập</v>
      </c>
      <c r="M26" s="4"/>
      <c r="N26" s="7"/>
      <c r="O26" s="7"/>
      <c r="P26" s="7"/>
      <c r="Q26" s="7"/>
      <c r="R26" s="7"/>
      <c r="S26" s="7"/>
      <c r="T26" s="7"/>
      <c r="U26" s="10" t="str">
        <f t="shared" si="1"/>
        <v/>
      </c>
    </row>
    <row r="27" spans="1:21" ht="24.75" customHeight="1">
      <c r="A27" s="12"/>
      <c r="B27" s="6"/>
      <c r="C27" s="6"/>
      <c r="D27" s="6"/>
      <c r="E27" s="8"/>
      <c r="F27" s="13"/>
      <c r="G27" s="4"/>
      <c r="H27" s="10"/>
      <c r="I27" s="4"/>
      <c r="J27" s="48"/>
      <c r="K27" s="48">
        <f t="shared" si="2"/>
        <v>0</v>
      </c>
      <c r="L27" s="48" t="str">
        <f t="shared" si="0"/>
        <v>không thực tập</v>
      </c>
      <c r="M27" s="4"/>
      <c r="N27" s="7"/>
      <c r="O27" s="7"/>
      <c r="P27" s="7"/>
      <c r="Q27" s="7"/>
      <c r="R27" s="7"/>
      <c r="S27" s="7"/>
      <c r="T27" s="7"/>
      <c r="U27" s="10" t="str">
        <f t="shared" si="1"/>
        <v/>
      </c>
    </row>
    <row r="28" spans="1:21" ht="24.75" customHeight="1">
      <c r="A28" s="12"/>
      <c r="B28" s="6"/>
      <c r="C28" s="6"/>
      <c r="D28" s="6"/>
      <c r="E28" s="8"/>
      <c r="F28" s="13"/>
      <c r="G28" s="4"/>
      <c r="H28" s="10"/>
      <c r="I28" s="4"/>
      <c r="J28" s="48"/>
      <c r="K28" s="48">
        <f t="shared" si="2"/>
        <v>0</v>
      </c>
      <c r="L28" s="48" t="str">
        <f t="shared" si="0"/>
        <v>không thực tập</v>
      </c>
      <c r="M28" s="4"/>
      <c r="N28" s="7"/>
      <c r="O28" s="7"/>
      <c r="P28" s="7"/>
      <c r="Q28" s="7"/>
      <c r="R28" s="7"/>
      <c r="S28" s="7"/>
      <c r="T28" s="7"/>
      <c r="U28" s="10" t="str">
        <f t="shared" si="1"/>
        <v/>
      </c>
    </row>
    <row r="29" spans="1:21" ht="24.75" customHeight="1">
      <c r="A29" s="12"/>
      <c r="B29" s="6"/>
      <c r="C29" s="6"/>
      <c r="D29" s="6"/>
      <c r="E29" s="8"/>
      <c r="F29" s="13"/>
      <c r="G29" s="4"/>
      <c r="H29" s="10"/>
      <c r="I29" s="4"/>
      <c r="J29" s="48"/>
      <c r="K29" s="48">
        <f t="shared" si="2"/>
        <v>0</v>
      </c>
      <c r="L29" s="48" t="str">
        <f t="shared" si="0"/>
        <v>không thực tập</v>
      </c>
      <c r="M29" s="4"/>
      <c r="N29" s="7"/>
      <c r="O29" s="7"/>
      <c r="P29" s="7"/>
      <c r="Q29" s="7"/>
      <c r="R29" s="7"/>
      <c r="S29" s="7"/>
      <c r="T29" s="7"/>
      <c r="U29" s="10" t="str">
        <f t="shared" si="1"/>
        <v/>
      </c>
    </row>
    <row r="30" spans="1:21" ht="24.75" customHeight="1">
      <c r="A30" s="12"/>
      <c r="B30" s="6"/>
      <c r="C30" s="6"/>
      <c r="D30" s="6"/>
      <c r="E30" s="8"/>
      <c r="F30" s="13"/>
      <c r="G30" s="4"/>
      <c r="H30" s="10"/>
      <c r="I30" s="4"/>
      <c r="J30" s="48"/>
      <c r="K30" s="48">
        <f t="shared" si="2"/>
        <v>0</v>
      </c>
      <c r="L30" s="48" t="str">
        <f t="shared" si="0"/>
        <v>không thực tập</v>
      </c>
      <c r="M30" s="4"/>
      <c r="N30" s="7"/>
      <c r="O30" s="7"/>
      <c r="P30" s="7"/>
      <c r="Q30" s="7"/>
      <c r="R30" s="7"/>
      <c r="S30" s="7"/>
      <c r="T30" s="7"/>
      <c r="U30" s="10" t="str">
        <f t="shared" si="1"/>
        <v/>
      </c>
    </row>
    <row r="31" spans="1:21" ht="24.75" customHeight="1">
      <c r="A31" s="12"/>
      <c r="B31" s="6"/>
      <c r="C31" s="6"/>
      <c r="D31" s="6"/>
      <c r="E31" s="8"/>
      <c r="F31" s="13"/>
      <c r="G31" s="4"/>
      <c r="H31" s="10"/>
      <c r="I31" s="4"/>
      <c r="J31" s="48"/>
      <c r="K31" s="48">
        <f t="shared" si="2"/>
        <v>0</v>
      </c>
      <c r="L31" s="48" t="str">
        <f t="shared" si="0"/>
        <v>không thực tập</v>
      </c>
      <c r="M31" s="4"/>
      <c r="N31" s="7"/>
      <c r="O31" s="7"/>
      <c r="P31" s="7"/>
      <c r="Q31" s="7"/>
      <c r="R31" s="7"/>
      <c r="S31" s="7"/>
      <c r="T31" s="7"/>
      <c r="U31" s="10" t="str">
        <f t="shared" si="1"/>
        <v/>
      </c>
    </row>
    <row r="32" spans="1:21" ht="24.75" customHeight="1">
      <c r="A32" s="12"/>
      <c r="B32" s="6"/>
      <c r="C32" s="6"/>
      <c r="D32" s="6"/>
      <c r="E32" s="8"/>
      <c r="F32" s="13"/>
      <c r="G32" s="4"/>
      <c r="H32" s="10"/>
      <c r="I32" s="4"/>
      <c r="J32" s="48"/>
      <c r="K32" s="48">
        <f t="shared" si="2"/>
        <v>0</v>
      </c>
      <c r="L32" s="48" t="str">
        <f t="shared" si="0"/>
        <v>không thực tập</v>
      </c>
      <c r="M32" s="4"/>
      <c r="N32" s="7"/>
      <c r="O32" s="7"/>
      <c r="P32" s="7"/>
      <c r="Q32" s="7"/>
      <c r="R32" s="7"/>
      <c r="S32" s="7"/>
      <c r="T32" s="7"/>
      <c r="U32" s="10" t="str">
        <f t="shared" si="1"/>
        <v/>
      </c>
    </row>
    <row r="33" spans="1:21" ht="24.75" customHeight="1">
      <c r="A33" s="12"/>
      <c r="B33" s="6"/>
      <c r="C33" s="6"/>
      <c r="D33" s="6"/>
      <c r="E33" s="8"/>
      <c r="F33" s="13"/>
      <c r="G33" s="4"/>
      <c r="H33" s="10"/>
      <c r="I33" s="4"/>
      <c r="J33" s="48"/>
      <c r="K33" s="48">
        <f t="shared" si="2"/>
        <v>0</v>
      </c>
      <c r="L33" s="48" t="str">
        <f t="shared" si="0"/>
        <v>không thực tập</v>
      </c>
      <c r="M33" s="4"/>
      <c r="N33" s="7"/>
      <c r="O33" s="7"/>
      <c r="P33" s="7"/>
      <c r="Q33" s="7"/>
      <c r="R33" s="7"/>
      <c r="S33" s="7"/>
      <c r="T33" s="7"/>
      <c r="U33" s="10" t="str">
        <f t="shared" si="1"/>
        <v/>
      </c>
    </row>
    <row r="34" spans="1:21" ht="24.75" customHeight="1">
      <c r="A34" s="12"/>
      <c r="B34" s="6"/>
      <c r="C34" s="6"/>
      <c r="D34" s="6"/>
      <c r="E34" s="8"/>
      <c r="F34" s="13"/>
      <c r="G34" s="25"/>
      <c r="H34" s="15"/>
      <c r="I34" s="4"/>
      <c r="J34" s="48"/>
      <c r="K34" s="48">
        <f t="shared" si="2"/>
        <v>0</v>
      </c>
      <c r="L34" s="48" t="str">
        <f t="shared" si="0"/>
        <v>không thực tập</v>
      </c>
      <c r="M34" s="25"/>
      <c r="N34" s="7"/>
      <c r="O34" s="7"/>
      <c r="P34" s="7"/>
      <c r="Q34" s="7"/>
      <c r="R34" s="7"/>
      <c r="S34" s="7"/>
      <c r="T34" s="7"/>
      <c r="U34" s="10" t="str">
        <f t="shared" si="1"/>
        <v/>
      </c>
    </row>
    <row r="35" spans="1:21" ht="24.75" customHeight="1">
      <c r="A35" s="12"/>
      <c r="B35" s="6"/>
      <c r="C35" s="6"/>
      <c r="D35" s="6"/>
      <c r="E35" s="8"/>
      <c r="F35" s="13"/>
      <c r="G35" s="4"/>
      <c r="H35" s="10"/>
      <c r="I35" s="4"/>
      <c r="J35" s="48"/>
      <c r="K35" s="48">
        <f t="shared" si="2"/>
        <v>0</v>
      </c>
      <c r="L35" s="48" t="str">
        <f t="shared" ref="L35:L52" si="3">VLOOKUP(K35,$I$64:$L$71,4,1)</f>
        <v>không thực tập</v>
      </c>
      <c r="M35" s="4"/>
      <c r="N35" s="7"/>
      <c r="O35" s="7"/>
      <c r="P35" s="7"/>
      <c r="Q35" s="7"/>
      <c r="R35" s="7"/>
      <c r="S35" s="7"/>
      <c r="T35" s="7"/>
      <c r="U35" s="10" t="str">
        <f t="shared" si="1"/>
        <v/>
      </c>
    </row>
    <row r="36" spans="1:21" ht="24.75" customHeight="1">
      <c r="A36" s="12"/>
      <c r="B36" s="6"/>
      <c r="C36" s="6"/>
      <c r="D36" s="6"/>
      <c r="E36" s="8"/>
      <c r="F36" s="13"/>
      <c r="G36" s="26"/>
      <c r="H36" s="14"/>
      <c r="I36" s="4"/>
      <c r="J36" s="48"/>
      <c r="K36" s="48">
        <f t="shared" si="2"/>
        <v>0</v>
      </c>
      <c r="L36" s="48" t="str">
        <f t="shared" si="3"/>
        <v>không thực tập</v>
      </c>
      <c r="M36" s="44"/>
      <c r="N36" s="7"/>
      <c r="O36" s="7"/>
      <c r="P36" s="7"/>
      <c r="Q36" s="7"/>
      <c r="R36" s="7"/>
      <c r="S36" s="7"/>
      <c r="T36" s="7"/>
      <c r="U36" s="10" t="str">
        <f t="shared" si="1"/>
        <v/>
      </c>
    </row>
    <row r="37" spans="1:21" ht="24.75" customHeight="1">
      <c r="A37" s="12"/>
      <c r="B37" s="6"/>
      <c r="C37" s="6"/>
      <c r="D37" s="6"/>
      <c r="E37" s="8"/>
      <c r="F37" s="13"/>
      <c r="G37" s="26"/>
      <c r="H37" s="10"/>
      <c r="I37" s="4"/>
      <c r="J37" s="48"/>
      <c r="K37" s="48">
        <f t="shared" si="2"/>
        <v>0</v>
      </c>
      <c r="L37" s="48" t="str">
        <f t="shared" si="3"/>
        <v>không thực tập</v>
      </c>
      <c r="M37" s="44"/>
      <c r="N37" s="7"/>
      <c r="O37" s="7"/>
      <c r="P37" s="7"/>
      <c r="Q37" s="7"/>
      <c r="R37" s="7"/>
      <c r="S37" s="7"/>
      <c r="T37" s="7"/>
      <c r="U37" s="10" t="str">
        <f t="shared" si="1"/>
        <v/>
      </c>
    </row>
    <row r="38" spans="1:21" ht="24.75" customHeight="1">
      <c r="A38" s="12"/>
      <c r="B38" s="6"/>
      <c r="C38" s="6"/>
      <c r="D38" s="6"/>
      <c r="E38" s="8"/>
      <c r="F38" s="13"/>
      <c r="G38" s="4"/>
      <c r="H38" s="10"/>
      <c r="I38" s="4"/>
      <c r="J38" s="48"/>
      <c r="K38" s="48">
        <f t="shared" si="2"/>
        <v>0</v>
      </c>
      <c r="L38" s="48" t="str">
        <f t="shared" si="3"/>
        <v>không thực tập</v>
      </c>
      <c r="M38" s="4"/>
      <c r="N38" s="7"/>
      <c r="O38" s="7"/>
      <c r="P38" s="7"/>
      <c r="Q38" s="7"/>
      <c r="R38" s="7"/>
      <c r="S38" s="7"/>
      <c r="T38" s="7"/>
      <c r="U38" s="10" t="str">
        <f t="shared" si="1"/>
        <v/>
      </c>
    </row>
    <row r="39" spans="1:21" ht="24.75" customHeight="1">
      <c r="A39" s="12"/>
      <c r="B39" s="6"/>
      <c r="C39" s="6"/>
      <c r="D39" s="6"/>
      <c r="E39" s="8"/>
      <c r="F39" s="13"/>
      <c r="G39" s="4"/>
      <c r="H39" s="10"/>
      <c r="I39" s="4"/>
      <c r="J39" s="48"/>
      <c r="K39" s="48">
        <f t="shared" si="2"/>
        <v>0</v>
      </c>
      <c r="L39" s="48" t="str">
        <f t="shared" si="3"/>
        <v>không thực tập</v>
      </c>
      <c r="M39" s="4"/>
      <c r="N39" s="7"/>
      <c r="O39" s="7"/>
      <c r="P39" s="7"/>
      <c r="Q39" s="7"/>
      <c r="R39" s="7"/>
      <c r="S39" s="7"/>
      <c r="T39" s="7"/>
      <c r="U39" s="10" t="str">
        <f t="shared" si="1"/>
        <v/>
      </c>
    </row>
    <row r="40" spans="1:21" ht="24.75" customHeight="1">
      <c r="A40" s="12"/>
      <c r="B40" s="6"/>
      <c r="C40" s="6"/>
      <c r="D40" s="6"/>
      <c r="E40" s="8"/>
      <c r="F40" s="13"/>
      <c r="G40" s="4"/>
      <c r="H40" s="10"/>
      <c r="I40" s="4"/>
      <c r="J40" s="48"/>
      <c r="K40" s="48">
        <f t="shared" si="2"/>
        <v>0</v>
      </c>
      <c r="L40" s="48" t="str">
        <f t="shared" si="3"/>
        <v>không thực tập</v>
      </c>
      <c r="M40" s="4"/>
      <c r="N40" s="7"/>
      <c r="O40" s="7"/>
      <c r="P40" s="7"/>
      <c r="Q40" s="7"/>
      <c r="R40" s="7"/>
      <c r="S40" s="7"/>
      <c r="T40" s="7"/>
      <c r="U40" s="10" t="str">
        <f t="shared" si="1"/>
        <v/>
      </c>
    </row>
    <row r="41" spans="1:21" ht="24.75" customHeight="1">
      <c r="A41" s="12"/>
      <c r="B41" s="6"/>
      <c r="C41" s="6"/>
      <c r="D41" s="6"/>
      <c r="E41" s="8"/>
      <c r="F41" s="13"/>
      <c r="G41" s="4"/>
      <c r="H41" s="10"/>
      <c r="I41" s="4"/>
      <c r="J41" s="48"/>
      <c r="K41" s="48">
        <f t="shared" si="2"/>
        <v>0</v>
      </c>
      <c r="L41" s="48" t="str">
        <f t="shared" si="3"/>
        <v>không thực tập</v>
      </c>
      <c r="M41" s="4"/>
      <c r="N41" s="7"/>
      <c r="O41" s="7"/>
      <c r="P41" s="7"/>
      <c r="Q41" s="7"/>
      <c r="R41" s="7"/>
      <c r="S41" s="7"/>
      <c r="T41" s="7"/>
      <c r="U41" s="10" t="str">
        <f t="shared" si="1"/>
        <v/>
      </c>
    </row>
    <row r="42" spans="1:21" ht="24.75" customHeight="1">
      <c r="A42" s="12"/>
      <c r="B42" s="6"/>
      <c r="C42" s="6"/>
      <c r="D42" s="6"/>
      <c r="E42" s="8"/>
      <c r="F42" s="13"/>
      <c r="G42" s="4"/>
      <c r="H42" s="10"/>
      <c r="I42" s="4"/>
      <c r="J42" s="48"/>
      <c r="K42" s="48">
        <f t="shared" si="2"/>
        <v>0</v>
      </c>
      <c r="L42" s="48" t="str">
        <f t="shared" si="3"/>
        <v>không thực tập</v>
      </c>
      <c r="M42" s="4"/>
      <c r="N42" s="7"/>
      <c r="O42" s="7"/>
      <c r="P42" s="7"/>
      <c r="Q42" s="7"/>
      <c r="R42" s="7"/>
      <c r="S42" s="7"/>
      <c r="T42" s="7"/>
      <c r="U42" s="10" t="str">
        <f t="shared" si="1"/>
        <v/>
      </c>
    </row>
    <row r="43" spans="1:21" ht="24.75" customHeight="1">
      <c r="A43" s="12"/>
      <c r="B43" s="6"/>
      <c r="C43" s="6"/>
      <c r="D43" s="6"/>
      <c r="E43" s="8"/>
      <c r="F43" s="13"/>
      <c r="G43" s="4"/>
      <c r="H43" s="10"/>
      <c r="I43" s="4"/>
      <c r="J43" s="48"/>
      <c r="K43" s="48">
        <f t="shared" si="2"/>
        <v>0</v>
      </c>
      <c r="L43" s="48" t="str">
        <f t="shared" si="3"/>
        <v>không thực tập</v>
      </c>
      <c r="M43" s="4"/>
      <c r="N43" s="7"/>
      <c r="O43" s="7"/>
      <c r="P43" s="7"/>
      <c r="Q43" s="7"/>
      <c r="R43" s="7"/>
      <c r="S43" s="7"/>
      <c r="T43" s="7"/>
      <c r="U43" s="10" t="str">
        <f t="shared" si="1"/>
        <v/>
      </c>
    </row>
    <row r="44" spans="1:21" ht="24.75" customHeight="1">
      <c r="A44" s="12"/>
      <c r="B44" s="6"/>
      <c r="C44" s="6"/>
      <c r="D44" s="6"/>
      <c r="E44" s="32"/>
      <c r="F44" s="13"/>
      <c r="G44" s="4"/>
      <c r="H44" s="10"/>
      <c r="I44" s="4"/>
      <c r="J44" s="48"/>
      <c r="K44" s="48">
        <f t="shared" si="2"/>
        <v>0</v>
      </c>
      <c r="L44" s="48" t="str">
        <f t="shared" si="3"/>
        <v>không thực tập</v>
      </c>
      <c r="M44" s="4"/>
      <c r="N44" s="7"/>
      <c r="O44" s="7"/>
      <c r="P44" s="7"/>
      <c r="Q44" s="7"/>
      <c r="R44" s="7"/>
      <c r="S44" s="7"/>
      <c r="T44" s="7"/>
      <c r="U44" s="10" t="str">
        <f t="shared" si="1"/>
        <v/>
      </c>
    </row>
    <row r="45" spans="1:21" ht="24.75" customHeight="1">
      <c r="A45" s="12"/>
      <c r="B45" s="6"/>
      <c r="C45" s="6"/>
      <c r="D45" s="6"/>
      <c r="E45" s="8"/>
      <c r="F45" s="13"/>
      <c r="G45" s="4"/>
      <c r="H45" s="10"/>
      <c r="I45" s="4"/>
      <c r="J45" s="48"/>
      <c r="K45" s="48">
        <f t="shared" si="2"/>
        <v>0</v>
      </c>
      <c r="L45" s="48" t="str">
        <f t="shared" si="3"/>
        <v>không thực tập</v>
      </c>
      <c r="M45" s="4"/>
      <c r="N45" s="7"/>
      <c r="O45" s="7"/>
      <c r="P45" s="7"/>
      <c r="Q45" s="7"/>
      <c r="R45" s="7"/>
      <c r="S45" s="7"/>
      <c r="T45" s="7"/>
      <c r="U45" s="10" t="str">
        <f t="shared" si="1"/>
        <v/>
      </c>
    </row>
    <row r="46" spans="1:21" ht="24.75" customHeight="1">
      <c r="A46" s="12"/>
      <c r="B46" s="6"/>
      <c r="C46" s="6"/>
      <c r="D46" s="6"/>
      <c r="E46" s="8"/>
      <c r="F46" s="13"/>
      <c r="G46" s="4"/>
      <c r="H46" s="10"/>
      <c r="I46" s="4"/>
      <c r="J46" s="48"/>
      <c r="K46" s="48">
        <f t="shared" si="2"/>
        <v>0</v>
      </c>
      <c r="L46" s="48" t="str">
        <f t="shared" si="3"/>
        <v>không thực tập</v>
      </c>
      <c r="M46" s="4"/>
      <c r="N46" s="7"/>
      <c r="O46" s="7"/>
      <c r="P46" s="7"/>
      <c r="Q46" s="7"/>
      <c r="R46" s="7"/>
      <c r="S46" s="7"/>
      <c r="T46" s="7"/>
      <c r="U46" s="10" t="str">
        <f t="shared" si="1"/>
        <v/>
      </c>
    </row>
    <row r="47" spans="1:21" ht="24.75" customHeight="1">
      <c r="A47" s="12"/>
      <c r="B47" s="6"/>
      <c r="C47" s="6"/>
      <c r="D47" s="6"/>
      <c r="E47" s="8"/>
      <c r="F47" s="13"/>
      <c r="G47" s="4"/>
      <c r="H47" s="10"/>
      <c r="I47" s="4"/>
      <c r="J47" s="48"/>
      <c r="K47" s="48">
        <f t="shared" si="2"/>
        <v>0</v>
      </c>
      <c r="L47" s="48" t="str">
        <f t="shared" si="3"/>
        <v>không thực tập</v>
      </c>
      <c r="M47" s="4"/>
      <c r="N47" s="7"/>
      <c r="O47" s="7"/>
      <c r="P47" s="7"/>
      <c r="Q47" s="7"/>
      <c r="R47" s="7"/>
      <c r="S47" s="7"/>
      <c r="T47" s="7"/>
      <c r="U47" s="10" t="str">
        <f t="shared" si="1"/>
        <v/>
      </c>
    </row>
    <row r="48" spans="1:21" ht="24.75" customHeight="1">
      <c r="A48" s="12"/>
      <c r="B48" s="6"/>
      <c r="C48" s="6"/>
      <c r="D48" s="6"/>
      <c r="E48" s="8"/>
      <c r="F48" s="13"/>
      <c r="G48" s="4"/>
      <c r="H48" s="10"/>
      <c r="I48" s="4"/>
      <c r="J48" s="48"/>
      <c r="K48" s="48">
        <f t="shared" si="2"/>
        <v>0</v>
      </c>
      <c r="L48" s="48" t="str">
        <f t="shared" si="3"/>
        <v>không thực tập</v>
      </c>
      <c r="M48" s="4"/>
      <c r="N48" s="7"/>
      <c r="O48" s="7"/>
      <c r="P48" s="7"/>
      <c r="Q48" s="7"/>
      <c r="R48" s="7"/>
      <c r="S48" s="7"/>
      <c r="T48" s="7"/>
      <c r="U48" s="10" t="str">
        <f t="shared" si="1"/>
        <v/>
      </c>
    </row>
    <row r="49" spans="1:21" ht="24.75" customHeight="1">
      <c r="A49" s="12"/>
      <c r="B49" s="6"/>
      <c r="C49" s="6"/>
      <c r="D49" s="6"/>
      <c r="E49" s="8"/>
      <c r="F49" s="13"/>
      <c r="G49" s="4"/>
      <c r="H49" s="10"/>
      <c r="I49" s="4"/>
      <c r="J49" s="48"/>
      <c r="K49" s="48">
        <f t="shared" si="2"/>
        <v>0</v>
      </c>
      <c r="L49" s="48" t="str">
        <f t="shared" si="3"/>
        <v>không thực tập</v>
      </c>
      <c r="M49" s="4"/>
      <c r="N49" s="7"/>
      <c r="O49" s="7"/>
      <c r="P49" s="7"/>
      <c r="Q49" s="7"/>
      <c r="R49" s="7"/>
      <c r="S49" s="7"/>
      <c r="T49" s="7"/>
      <c r="U49" s="10" t="str">
        <f t="shared" si="1"/>
        <v/>
      </c>
    </row>
    <row r="50" spans="1:21" ht="24.75" customHeight="1">
      <c r="A50" s="12"/>
      <c r="B50" s="6"/>
      <c r="C50" s="6"/>
      <c r="D50" s="6"/>
      <c r="E50" s="8"/>
      <c r="F50" s="13"/>
      <c r="G50" s="4"/>
      <c r="H50" s="10"/>
      <c r="I50" s="4"/>
      <c r="J50" s="48"/>
      <c r="K50" s="48">
        <f t="shared" si="2"/>
        <v>0</v>
      </c>
      <c r="L50" s="48" t="str">
        <f t="shared" si="3"/>
        <v>không thực tập</v>
      </c>
      <c r="M50" s="4"/>
      <c r="N50" s="7"/>
      <c r="O50" s="7"/>
      <c r="P50" s="7"/>
      <c r="Q50" s="7"/>
      <c r="R50" s="7"/>
      <c r="S50" s="7"/>
      <c r="T50" s="7"/>
      <c r="U50" s="10" t="str">
        <f t="shared" si="1"/>
        <v/>
      </c>
    </row>
    <row r="51" spans="1:21" ht="24.75" customHeight="1">
      <c r="A51" s="12"/>
      <c r="B51" s="6"/>
      <c r="C51" s="6"/>
      <c r="D51" s="6"/>
      <c r="E51" s="8"/>
      <c r="F51" s="13"/>
      <c r="G51" s="4"/>
      <c r="H51" s="10"/>
      <c r="I51" s="4"/>
      <c r="J51" s="48"/>
      <c r="K51" s="48">
        <f t="shared" si="2"/>
        <v>0</v>
      </c>
      <c r="L51" s="48" t="str">
        <f t="shared" si="3"/>
        <v>không thực tập</v>
      </c>
      <c r="M51" s="4"/>
      <c r="N51" s="7"/>
      <c r="O51" s="7"/>
      <c r="P51" s="7"/>
      <c r="Q51" s="7"/>
      <c r="R51" s="7"/>
      <c r="S51" s="7"/>
      <c r="T51" s="7"/>
      <c r="U51" s="10" t="str">
        <f t="shared" si="1"/>
        <v/>
      </c>
    </row>
    <row r="52" spans="1:21" ht="24.75" customHeight="1">
      <c r="A52" s="12"/>
      <c r="B52" s="6"/>
      <c r="C52" s="6"/>
      <c r="D52" s="6"/>
      <c r="E52" s="8"/>
      <c r="F52" s="13"/>
      <c r="G52" s="4"/>
      <c r="H52" s="10"/>
      <c r="I52" s="4"/>
      <c r="J52" s="48"/>
      <c r="K52" s="48">
        <f t="shared" si="2"/>
        <v>0</v>
      </c>
      <c r="L52" s="48" t="str">
        <f t="shared" si="3"/>
        <v>không thực tập</v>
      </c>
      <c r="M52" s="4"/>
      <c r="N52" s="7"/>
      <c r="O52" s="7"/>
      <c r="P52" s="7"/>
      <c r="Q52" s="7"/>
      <c r="R52" s="7"/>
      <c r="S52" s="7"/>
      <c r="T52" s="7"/>
      <c r="U52" s="10" t="str">
        <f t="shared" si="1"/>
        <v/>
      </c>
    </row>
    <row r="63" spans="1:21">
      <c r="I63" s="57" t="s">
        <v>158</v>
      </c>
      <c r="J63" s="57"/>
      <c r="K63" s="57"/>
      <c r="L63" s="57"/>
    </row>
    <row r="64" spans="1:21">
      <c r="I64" s="50" t="s">
        <v>159</v>
      </c>
      <c r="J64" s="50" t="s">
        <v>160</v>
      </c>
      <c r="K64" s="50" t="s">
        <v>161</v>
      </c>
      <c r="L64" s="50" t="s">
        <v>175</v>
      </c>
      <c r="M64" s="53" t="s">
        <v>176</v>
      </c>
    </row>
    <row r="65" spans="9:15" ht="15.6">
      <c r="I65" s="51">
        <v>0</v>
      </c>
      <c r="J65" s="51">
        <v>0</v>
      </c>
      <c r="K65" s="51" t="s">
        <v>162</v>
      </c>
      <c r="L65" s="51" t="s">
        <v>174</v>
      </c>
      <c r="M65">
        <f>COUNTIF($L$3:$L$52,L65)</f>
        <v>50</v>
      </c>
      <c r="N65" s="54">
        <f>M65/$M$72</f>
        <v>1</v>
      </c>
    </row>
    <row r="66" spans="9:15" ht="15.6">
      <c r="I66" s="51">
        <v>4</v>
      </c>
      <c r="J66" s="51">
        <v>1</v>
      </c>
      <c r="K66" s="51" t="s">
        <v>163</v>
      </c>
      <c r="L66" s="51" t="s">
        <v>173</v>
      </c>
      <c r="M66">
        <f t="shared" ref="M66:M71" si="4">COUNTIF($L$3:$L$52,L66)</f>
        <v>0</v>
      </c>
      <c r="N66" s="54">
        <f t="shared" ref="N66:N71" si="5">M66/$M$72</f>
        <v>0</v>
      </c>
    </row>
    <row r="67" spans="9:15" ht="15.6">
      <c r="I67" s="51">
        <v>5</v>
      </c>
      <c r="J67" s="51">
        <v>2</v>
      </c>
      <c r="K67" s="51" t="s">
        <v>155</v>
      </c>
      <c r="L67" s="51" t="s">
        <v>172</v>
      </c>
      <c r="M67">
        <f>COUNTIF($L$3:$L$52,L67)</f>
        <v>0</v>
      </c>
      <c r="N67" s="54">
        <f t="shared" si="5"/>
        <v>0</v>
      </c>
    </row>
    <row r="68" spans="9:15" ht="15.6">
      <c r="I68" s="52">
        <v>6.5</v>
      </c>
      <c r="J68" s="52">
        <v>2.5</v>
      </c>
      <c r="K68" s="52" t="s">
        <v>164</v>
      </c>
      <c r="L68" s="51" t="s">
        <v>171</v>
      </c>
      <c r="M68">
        <f t="shared" si="4"/>
        <v>0</v>
      </c>
      <c r="N68" s="54">
        <f t="shared" si="5"/>
        <v>0</v>
      </c>
      <c r="O68" s="55">
        <f>SUM(N67:N68)</f>
        <v>0</v>
      </c>
    </row>
    <row r="69" spans="9:15" ht="15.6">
      <c r="I69" s="52">
        <v>7</v>
      </c>
      <c r="J69" s="52">
        <v>3</v>
      </c>
      <c r="K69" s="52" t="s">
        <v>165</v>
      </c>
      <c r="L69" s="51" t="s">
        <v>170</v>
      </c>
      <c r="M69">
        <f t="shared" si="4"/>
        <v>0</v>
      </c>
      <c r="N69" s="54">
        <f t="shared" si="5"/>
        <v>0</v>
      </c>
      <c r="O69" s="55">
        <f>SUM(N69:N71)</f>
        <v>0</v>
      </c>
    </row>
    <row r="70" spans="9:15" ht="15.6">
      <c r="I70" s="52">
        <v>8</v>
      </c>
      <c r="J70" s="52">
        <v>3.5</v>
      </c>
      <c r="K70" s="52" t="s">
        <v>166</v>
      </c>
      <c r="L70" s="51" t="s">
        <v>169</v>
      </c>
      <c r="M70">
        <f t="shared" si="4"/>
        <v>0</v>
      </c>
      <c r="N70" s="54">
        <f t="shared" si="5"/>
        <v>0</v>
      </c>
    </row>
    <row r="71" spans="9:15" ht="15.6">
      <c r="I71" s="52">
        <v>8.5</v>
      </c>
      <c r="J71" s="52">
        <v>4</v>
      </c>
      <c r="K71" s="52" t="s">
        <v>167</v>
      </c>
      <c r="L71" s="51" t="s">
        <v>168</v>
      </c>
      <c r="M71">
        <f t="shared" si="4"/>
        <v>0</v>
      </c>
      <c r="N71" s="54">
        <f t="shared" si="5"/>
        <v>0</v>
      </c>
    </row>
    <row r="72" spans="9:15">
      <c r="M72">
        <f>SUM(M65:M71)</f>
        <v>50</v>
      </c>
    </row>
  </sheetData>
  <autoFilter ref="A2:U52" xr:uid="{D6481889-94F1-4FA7-8AB0-DA23889E3237}"/>
  <sortState xmlns:xlrd2="http://schemas.microsoft.com/office/spreadsheetml/2017/richdata2" ref="B3:U52">
    <sortCondition ref="C3:C52"/>
    <sortCondition ref="B3:B52"/>
    <sortCondition ref="D3:D52"/>
  </sortState>
  <mergeCells count="2">
    <mergeCell ref="A1:U1"/>
    <mergeCell ref="I63:L63"/>
  </mergeCells>
  <phoneticPr fontId="8" type="noConversion"/>
  <printOptions horizontalCentered="1"/>
  <pageMargins left="0.11811023622047245" right="0.11811023622047245" top="0.35433070866141736" bottom="0.35433070866141736" header="0.31496062992125984" footer="0.31496062992125984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zoomScale="80" zoomScaleNormal="80" workbookViewId="0">
      <selection activeCell="G19" sqref="G19"/>
    </sheetView>
  </sheetViews>
  <sheetFormatPr defaultColWidth="9" defaultRowHeight="13.8"/>
  <cols>
    <col min="2" max="2" width="28.8984375" customWidth="1"/>
    <col min="3" max="3" width="14.296875" customWidth="1"/>
    <col min="4" max="4" width="61.59765625" hidden="1" customWidth="1"/>
    <col min="5" max="5" width="91.59765625" style="27" customWidth="1"/>
    <col min="7" max="7" width="18.69921875" customWidth="1"/>
  </cols>
  <sheetData>
    <row r="1" spans="1:5" s="3" customFormat="1" ht="39.75" customHeight="1">
      <c r="C1" s="58"/>
      <c r="D1" s="58"/>
      <c r="E1" s="58"/>
    </row>
    <row r="2" spans="1:5" ht="35.85" customHeight="1">
      <c r="A2" s="31" t="s">
        <v>0</v>
      </c>
      <c r="B2" s="30" t="s">
        <v>94</v>
      </c>
      <c r="C2" s="10" t="s">
        <v>1</v>
      </c>
      <c r="D2" s="10" t="s">
        <v>2</v>
      </c>
      <c r="E2" s="29" t="s">
        <v>2</v>
      </c>
    </row>
    <row r="3" spans="1:5" ht="31.5" customHeight="1">
      <c r="A3" s="4">
        <v>1</v>
      </c>
      <c r="B3" s="6" t="s">
        <v>109</v>
      </c>
      <c r="C3" s="6" t="s">
        <v>50</v>
      </c>
      <c r="D3" s="13"/>
      <c r="E3" s="8" t="s">
        <v>79</v>
      </c>
    </row>
    <row r="4" spans="1:5" ht="31.5" customHeight="1">
      <c r="A4" s="4">
        <v>2</v>
      </c>
      <c r="B4" s="6" t="s">
        <v>133</v>
      </c>
      <c r="C4" s="6" t="s">
        <v>51</v>
      </c>
      <c r="D4" s="13"/>
      <c r="E4" s="8" t="s">
        <v>77</v>
      </c>
    </row>
    <row r="5" spans="1:5" ht="31.5" customHeight="1">
      <c r="A5" s="4">
        <v>3</v>
      </c>
      <c r="B5" s="6" t="s">
        <v>125</v>
      </c>
      <c r="C5" s="6" t="s">
        <v>50</v>
      </c>
      <c r="D5" s="13"/>
      <c r="E5" s="8" t="s">
        <v>77</v>
      </c>
    </row>
    <row r="6" spans="1:5" ht="31.5" customHeight="1">
      <c r="A6" s="4">
        <v>4</v>
      </c>
      <c r="B6" s="6" t="s">
        <v>132</v>
      </c>
      <c r="C6" s="6" t="s">
        <v>51</v>
      </c>
      <c r="D6" s="13"/>
      <c r="E6" s="8" t="s">
        <v>77</v>
      </c>
    </row>
    <row r="7" spans="1:5" ht="31.5" customHeight="1">
      <c r="A7" s="4">
        <v>5</v>
      </c>
      <c r="B7" s="6" t="s">
        <v>135</v>
      </c>
      <c r="C7" s="6" t="s">
        <v>51</v>
      </c>
      <c r="D7" s="13"/>
      <c r="E7" s="8" t="s">
        <v>144</v>
      </c>
    </row>
    <row r="8" spans="1:5" ht="31.5" customHeight="1">
      <c r="A8" s="4">
        <v>6</v>
      </c>
      <c r="B8" s="6" t="s">
        <v>107</v>
      </c>
      <c r="C8" s="6" t="s">
        <v>50</v>
      </c>
      <c r="D8" s="13"/>
      <c r="E8" s="8" t="s">
        <v>144</v>
      </c>
    </row>
    <row r="9" spans="1:5" ht="31.5" customHeight="1">
      <c r="A9" s="4">
        <v>7</v>
      </c>
      <c r="B9" s="6" t="s">
        <v>134</v>
      </c>
      <c r="C9" s="6" t="s">
        <v>50</v>
      </c>
      <c r="D9" s="13"/>
      <c r="E9" s="8" t="s">
        <v>144</v>
      </c>
    </row>
    <row r="10" spans="1:5" ht="31.5" customHeight="1">
      <c r="A10" s="4">
        <v>8</v>
      </c>
      <c r="B10" s="6" t="s">
        <v>111</v>
      </c>
      <c r="C10" s="6" t="s">
        <v>50</v>
      </c>
      <c r="D10" s="13"/>
      <c r="E10" s="8" t="s">
        <v>143</v>
      </c>
    </row>
    <row r="11" spans="1:5" ht="31.5" customHeight="1">
      <c r="A11" s="4">
        <v>9</v>
      </c>
      <c r="B11" s="6" t="s">
        <v>118</v>
      </c>
      <c r="C11" s="6" t="s">
        <v>51</v>
      </c>
      <c r="D11" s="13"/>
      <c r="E11" s="8" t="s">
        <v>144</v>
      </c>
    </row>
    <row r="12" spans="1:5" ht="31.5" customHeight="1">
      <c r="A12" s="4">
        <v>10</v>
      </c>
      <c r="B12" s="6" t="s">
        <v>122</v>
      </c>
      <c r="C12" s="6" t="s">
        <v>50</v>
      </c>
      <c r="D12" s="13"/>
      <c r="E12" s="8" t="s">
        <v>144</v>
      </c>
    </row>
    <row r="13" spans="1:5" ht="31.5" customHeight="1">
      <c r="A13" s="4">
        <v>11</v>
      </c>
      <c r="B13" s="6" t="s">
        <v>126</v>
      </c>
      <c r="C13" s="6" t="s">
        <v>50</v>
      </c>
      <c r="D13" s="13"/>
      <c r="E13" s="6" t="s">
        <v>83</v>
      </c>
    </row>
    <row r="14" spans="1:5" ht="31.5" customHeight="1">
      <c r="A14" s="4">
        <v>12</v>
      </c>
      <c r="B14" s="6" t="s">
        <v>102</v>
      </c>
      <c r="C14" s="6" t="s">
        <v>51</v>
      </c>
      <c r="D14" s="13"/>
      <c r="E14" s="8" t="s">
        <v>63</v>
      </c>
    </row>
    <row r="15" spans="1:5" ht="31.5" customHeight="1">
      <c r="A15" s="4">
        <v>13</v>
      </c>
      <c r="B15" s="6" t="s">
        <v>106</v>
      </c>
      <c r="C15" s="6" t="s">
        <v>51</v>
      </c>
      <c r="D15" s="13"/>
      <c r="E15" s="8" t="s">
        <v>69</v>
      </c>
    </row>
    <row r="16" spans="1:5" ht="31.5" customHeight="1">
      <c r="A16" s="4">
        <v>14</v>
      </c>
      <c r="B16" s="6" t="s">
        <v>137</v>
      </c>
      <c r="C16" s="6" t="s">
        <v>50</v>
      </c>
      <c r="D16" s="13"/>
      <c r="E16" s="8" t="s">
        <v>69</v>
      </c>
    </row>
    <row r="17" spans="1:5" ht="31.5" customHeight="1">
      <c r="A17" s="4">
        <v>15</v>
      </c>
      <c r="B17" s="6" t="s">
        <v>99</v>
      </c>
      <c r="C17" s="6" t="s">
        <v>50</v>
      </c>
      <c r="D17" s="13"/>
      <c r="E17" s="8" t="s">
        <v>69</v>
      </c>
    </row>
    <row r="18" spans="1:5" ht="31.5" customHeight="1">
      <c r="A18" s="4">
        <v>16</v>
      </c>
      <c r="B18" s="6" t="s">
        <v>96</v>
      </c>
      <c r="C18" s="6" t="s">
        <v>50</v>
      </c>
      <c r="D18" s="13"/>
      <c r="E18" s="8" t="s">
        <v>69</v>
      </c>
    </row>
    <row r="19" spans="1:5" ht="31.5" customHeight="1">
      <c r="A19" s="4">
        <v>17</v>
      </c>
      <c r="B19" s="6" t="s">
        <v>112</v>
      </c>
      <c r="C19" s="6" t="s">
        <v>51</v>
      </c>
      <c r="D19" s="13"/>
      <c r="E19" s="8" t="s">
        <v>69</v>
      </c>
    </row>
    <row r="20" spans="1:5" ht="31.5" customHeight="1">
      <c r="A20" s="4">
        <v>18</v>
      </c>
      <c r="B20" s="6" t="s">
        <v>139</v>
      </c>
      <c r="C20" s="6" t="s">
        <v>50</v>
      </c>
      <c r="D20" s="13"/>
      <c r="E20" s="8" t="s">
        <v>69</v>
      </c>
    </row>
    <row r="21" spans="1:5" ht="31.5" customHeight="1">
      <c r="A21" s="4">
        <v>19</v>
      </c>
      <c r="B21" s="6" t="s">
        <v>93</v>
      </c>
      <c r="C21" s="6" t="s">
        <v>52</v>
      </c>
      <c r="D21" s="13"/>
      <c r="E21" s="8" t="s">
        <v>142</v>
      </c>
    </row>
    <row r="22" spans="1:5" ht="31.5" customHeight="1">
      <c r="A22" s="4">
        <v>20</v>
      </c>
      <c r="B22" s="6" t="s">
        <v>91</v>
      </c>
      <c r="C22" s="6" t="s">
        <v>52</v>
      </c>
      <c r="D22" s="13"/>
      <c r="E22" s="8" t="s">
        <v>142</v>
      </c>
    </row>
    <row r="23" spans="1:5" ht="31.5" customHeight="1">
      <c r="A23" s="4">
        <v>21</v>
      </c>
      <c r="B23" s="6" t="s">
        <v>129</v>
      </c>
      <c r="C23" s="6" t="s">
        <v>50</v>
      </c>
      <c r="D23" s="13"/>
      <c r="E23" s="8" t="s">
        <v>142</v>
      </c>
    </row>
    <row r="24" spans="1:5" ht="31.5" customHeight="1">
      <c r="A24" s="4">
        <v>22</v>
      </c>
      <c r="B24" s="6" t="s">
        <v>90</v>
      </c>
      <c r="C24" s="6" t="s">
        <v>51</v>
      </c>
      <c r="D24" s="13"/>
      <c r="E24" s="8" t="s">
        <v>142</v>
      </c>
    </row>
    <row r="25" spans="1:5" ht="31.5" customHeight="1">
      <c r="A25" s="4">
        <v>23</v>
      </c>
      <c r="B25" s="6" t="s">
        <v>140</v>
      </c>
      <c r="C25" s="6" t="s">
        <v>51</v>
      </c>
      <c r="D25" s="13"/>
      <c r="E25" s="8" t="s">
        <v>142</v>
      </c>
    </row>
    <row r="26" spans="1:5" ht="31.5" customHeight="1">
      <c r="A26" s="4">
        <v>24</v>
      </c>
      <c r="B26" s="6" t="s">
        <v>100</v>
      </c>
      <c r="C26" s="6" t="s">
        <v>51</v>
      </c>
      <c r="D26" s="13"/>
      <c r="E26" s="8" t="s">
        <v>142</v>
      </c>
    </row>
    <row r="27" spans="1:5" ht="31.5" customHeight="1">
      <c r="A27" s="4">
        <v>25</v>
      </c>
      <c r="B27" s="6" t="s">
        <v>104</v>
      </c>
      <c r="C27" s="6" t="s">
        <v>51</v>
      </c>
      <c r="D27" s="13"/>
      <c r="E27" s="8" t="s">
        <v>142</v>
      </c>
    </row>
    <row r="28" spans="1:5" ht="31.5" customHeight="1">
      <c r="A28" s="4">
        <v>26</v>
      </c>
      <c r="B28" s="6" t="s">
        <v>130</v>
      </c>
      <c r="C28" s="6" t="s">
        <v>50</v>
      </c>
      <c r="D28" s="13"/>
      <c r="E28" s="8" t="s">
        <v>142</v>
      </c>
    </row>
    <row r="29" spans="1:5" ht="31.5" customHeight="1">
      <c r="A29" s="4">
        <v>27</v>
      </c>
      <c r="B29" s="6" t="s">
        <v>105</v>
      </c>
      <c r="C29" s="6" t="s">
        <v>50</v>
      </c>
      <c r="D29" s="13"/>
      <c r="E29" s="8" t="s">
        <v>53</v>
      </c>
    </row>
    <row r="30" spans="1:5" ht="31.5" customHeight="1">
      <c r="A30" s="4">
        <v>28</v>
      </c>
      <c r="B30" s="6" t="s">
        <v>121</v>
      </c>
      <c r="C30" s="6" t="s">
        <v>50</v>
      </c>
      <c r="D30" s="13"/>
      <c r="E30" s="8" t="s">
        <v>53</v>
      </c>
    </row>
    <row r="31" spans="1:5" ht="31.5" customHeight="1">
      <c r="A31" s="4">
        <v>29</v>
      </c>
      <c r="B31" s="6" t="s">
        <v>101</v>
      </c>
      <c r="C31" s="6" t="s">
        <v>50</v>
      </c>
      <c r="D31" s="13"/>
      <c r="E31" s="8" t="s">
        <v>53</v>
      </c>
    </row>
    <row r="32" spans="1:5" ht="31.5" customHeight="1">
      <c r="A32" s="4">
        <v>30</v>
      </c>
      <c r="B32" s="6" t="s">
        <v>124</v>
      </c>
      <c r="C32" s="6" t="s">
        <v>50</v>
      </c>
      <c r="D32" s="13"/>
      <c r="E32" s="8" t="s">
        <v>53</v>
      </c>
    </row>
    <row r="33" spans="1:5" ht="31.5" customHeight="1">
      <c r="A33" s="4">
        <v>31</v>
      </c>
      <c r="B33" s="6" t="s">
        <v>103</v>
      </c>
      <c r="C33" s="6" t="s">
        <v>51</v>
      </c>
      <c r="D33" s="13"/>
      <c r="E33" s="8" t="s">
        <v>40</v>
      </c>
    </row>
    <row r="34" spans="1:5" ht="31.5" customHeight="1">
      <c r="A34" s="4">
        <v>32</v>
      </c>
      <c r="B34" s="6" t="s">
        <v>115</v>
      </c>
      <c r="C34" s="6" t="s">
        <v>50</v>
      </c>
      <c r="D34" s="13"/>
      <c r="E34" s="8" t="s">
        <v>40</v>
      </c>
    </row>
    <row r="35" spans="1:5" ht="31.5" customHeight="1">
      <c r="A35" s="4">
        <v>33</v>
      </c>
      <c r="B35" s="6" t="s">
        <v>128</v>
      </c>
      <c r="C35" s="6" t="s">
        <v>50</v>
      </c>
      <c r="D35" s="8"/>
      <c r="E35" s="8" t="s">
        <v>40</v>
      </c>
    </row>
    <row r="36" spans="1:5" ht="31.5" customHeight="1">
      <c r="A36" s="4">
        <v>34</v>
      </c>
      <c r="B36" s="6" t="s">
        <v>120</v>
      </c>
      <c r="C36" s="6" t="s">
        <v>51</v>
      </c>
      <c r="D36" s="13"/>
      <c r="E36" s="8" t="s">
        <v>141</v>
      </c>
    </row>
    <row r="37" spans="1:5" ht="31.5" customHeight="1">
      <c r="A37" s="4">
        <v>35</v>
      </c>
      <c r="B37" s="6" t="s">
        <v>95</v>
      </c>
      <c r="C37" s="6" t="s">
        <v>50</v>
      </c>
      <c r="D37" s="13"/>
      <c r="E37" s="8" t="s">
        <v>141</v>
      </c>
    </row>
    <row r="38" spans="1:5" ht="31.5" customHeight="1">
      <c r="A38" s="4">
        <v>36</v>
      </c>
      <c r="B38" s="6" t="s">
        <v>131</v>
      </c>
      <c r="C38" s="6" t="s">
        <v>50</v>
      </c>
      <c r="D38" s="13"/>
      <c r="E38" s="8" t="s">
        <v>23</v>
      </c>
    </row>
    <row r="39" spans="1:5" ht="31.5" customHeight="1">
      <c r="A39" s="4">
        <v>37</v>
      </c>
      <c r="B39" s="6" t="s">
        <v>117</v>
      </c>
      <c r="C39" s="6" t="s">
        <v>50</v>
      </c>
      <c r="D39" s="13"/>
      <c r="E39" s="8" t="s">
        <v>23</v>
      </c>
    </row>
    <row r="40" spans="1:5" ht="31.5" customHeight="1">
      <c r="A40" s="4">
        <v>38</v>
      </c>
      <c r="B40" s="6" t="s">
        <v>138</v>
      </c>
      <c r="C40" s="6" t="s">
        <v>51</v>
      </c>
      <c r="D40" s="13"/>
      <c r="E40" s="8" t="s">
        <v>23</v>
      </c>
    </row>
    <row r="41" spans="1:5" ht="31.5" customHeight="1">
      <c r="A41" s="4">
        <v>39</v>
      </c>
      <c r="B41" s="6" t="s">
        <v>92</v>
      </c>
      <c r="C41" s="6" t="s">
        <v>52</v>
      </c>
      <c r="D41" s="13"/>
      <c r="E41" s="8" t="s">
        <v>23</v>
      </c>
    </row>
    <row r="42" spans="1:5" ht="31.5" customHeight="1">
      <c r="A42" s="4">
        <v>40</v>
      </c>
      <c r="B42" s="6" t="s">
        <v>110</v>
      </c>
      <c r="C42" s="6" t="s">
        <v>51</v>
      </c>
      <c r="D42" s="13"/>
      <c r="E42" s="8" t="s">
        <v>23</v>
      </c>
    </row>
    <row r="43" spans="1:5" ht="31.5" customHeight="1">
      <c r="A43" s="4">
        <v>41</v>
      </c>
      <c r="B43" s="6" t="s">
        <v>113</v>
      </c>
      <c r="C43" s="6" t="s">
        <v>50</v>
      </c>
      <c r="D43" s="13"/>
      <c r="E43" s="8" t="s">
        <v>23</v>
      </c>
    </row>
    <row r="44" spans="1:5" ht="31.5" customHeight="1">
      <c r="A44" s="39">
        <v>42</v>
      </c>
      <c r="B44" s="40" t="s">
        <v>114</v>
      </c>
      <c r="C44" s="40" t="s">
        <v>50</v>
      </c>
      <c r="D44" s="41"/>
      <c r="E44" s="42" t="s">
        <v>23</v>
      </c>
    </row>
    <row r="45" spans="1:5" ht="31.5" customHeight="1">
      <c r="A45" s="4">
        <v>43</v>
      </c>
      <c r="B45" s="6" t="s">
        <v>119</v>
      </c>
      <c r="C45" s="6" t="s">
        <v>50</v>
      </c>
      <c r="D45" s="13"/>
      <c r="E45" s="8" t="s">
        <v>23</v>
      </c>
    </row>
    <row r="46" spans="1:5" ht="31.5" customHeight="1">
      <c r="A46" s="4">
        <v>44</v>
      </c>
      <c r="B46" s="6" t="s">
        <v>123</v>
      </c>
      <c r="C46" s="6" t="s">
        <v>50</v>
      </c>
      <c r="D46" s="13"/>
      <c r="E46" s="8" t="s">
        <v>23</v>
      </c>
    </row>
    <row r="47" spans="1:5" ht="31.5" customHeight="1">
      <c r="A47" s="4">
        <v>45</v>
      </c>
      <c r="B47" s="6" t="s">
        <v>108</v>
      </c>
      <c r="C47" s="6" t="s">
        <v>51</v>
      </c>
      <c r="D47" s="13"/>
      <c r="E47" s="8" t="s">
        <v>61</v>
      </c>
    </row>
    <row r="48" spans="1:5" ht="31.5" customHeight="1">
      <c r="A48" s="4">
        <v>46</v>
      </c>
      <c r="B48" s="6" t="s">
        <v>136</v>
      </c>
      <c r="C48" s="6" t="s">
        <v>51</v>
      </c>
      <c r="D48" s="13"/>
      <c r="E48" s="28" t="s">
        <v>81</v>
      </c>
    </row>
    <row r="49" spans="1:5" ht="31.5" customHeight="1">
      <c r="A49" s="4">
        <v>47</v>
      </c>
      <c r="B49" s="6" t="s">
        <v>98</v>
      </c>
      <c r="C49" s="6" t="s">
        <v>51</v>
      </c>
      <c r="D49" s="13"/>
      <c r="E49" s="28" t="s">
        <v>81</v>
      </c>
    </row>
    <row r="50" spans="1:5" ht="31.5" customHeight="1">
      <c r="A50" s="4">
        <v>48</v>
      </c>
      <c r="B50" s="6" t="s">
        <v>116</v>
      </c>
      <c r="C50" s="6" t="s">
        <v>51</v>
      </c>
      <c r="D50" s="13"/>
      <c r="E50" s="28" t="s">
        <v>81</v>
      </c>
    </row>
    <row r="51" spans="1:5" ht="31.5" customHeight="1">
      <c r="A51" s="4">
        <v>49</v>
      </c>
      <c r="B51" s="6" t="s">
        <v>97</v>
      </c>
      <c r="C51" s="6" t="s">
        <v>51</v>
      </c>
      <c r="D51" s="13"/>
      <c r="E51" s="28" t="s">
        <v>81</v>
      </c>
    </row>
    <row r="52" spans="1:5" ht="31.5" customHeight="1">
      <c r="A52" s="4">
        <v>50</v>
      </c>
      <c r="B52" s="6" t="s">
        <v>127</v>
      </c>
      <c r="C52" s="6" t="s">
        <v>51</v>
      </c>
      <c r="D52" s="13"/>
      <c r="E52" s="8" t="s">
        <v>89</v>
      </c>
    </row>
  </sheetData>
  <autoFilter ref="E1:E52" xr:uid="{00000000-0001-0000-0100-000000000000}"/>
  <sortState xmlns:xlrd2="http://schemas.microsoft.com/office/spreadsheetml/2017/richdata2" ref="B3:E52">
    <sortCondition ref="E3:E52"/>
    <sortCondition ref="B3:B52"/>
  </sortState>
  <mergeCells count="1">
    <mergeCell ref="C1:E1"/>
  </mergeCells>
  <phoneticPr fontId="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C6DD-2050-465C-8C9A-9DF67E0628B1}">
  <dimension ref="A1:G29"/>
  <sheetViews>
    <sheetView workbookViewId="0">
      <selection activeCell="J18" sqref="J18"/>
    </sheetView>
  </sheetViews>
  <sheetFormatPr defaultColWidth="9" defaultRowHeight="16.8"/>
  <cols>
    <col min="1" max="1" width="9" style="1"/>
    <col min="2" max="3" width="47.296875" style="1" customWidth="1"/>
    <col min="4" max="4" width="17.09765625" style="1" customWidth="1"/>
    <col min="5" max="5" width="16.59765625" style="1" customWidth="1"/>
    <col min="6" max="6" width="26.296875" style="1" customWidth="1"/>
    <col min="7" max="16384" width="9" style="1"/>
  </cols>
  <sheetData>
    <row r="1" spans="1:6">
      <c r="A1" s="10" t="s">
        <v>0</v>
      </c>
      <c r="B1" s="10" t="s">
        <v>13</v>
      </c>
      <c r="C1" s="10" t="s">
        <v>14</v>
      </c>
      <c r="D1" s="10" t="s">
        <v>15</v>
      </c>
      <c r="E1" s="19"/>
      <c r="F1" s="10" t="s">
        <v>16</v>
      </c>
    </row>
    <row r="2" spans="1:6">
      <c r="A2" s="4">
        <v>1</v>
      </c>
      <c r="B2" s="35" t="s">
        <v>7</v>
      </c>
      <c r="C2" s="35" t="s">
        <v>8</v>
      </c>
      <c r="D2" s="4"/>
      <c r="E2" s="20"/>
      <c r="F2" s="4" t="s">
        <v>9</v>
      </c>
    </row>
    <row r="3" spans="1:6">
      <c r="A3" s="4">
        <v>2</v>
      </c>
      <c r="B3" s="35" t="s">
        <v>17</v>
      </c>
      <c r="C3" s="36" t="s">
        <v>18</v>
      </c>
      <c r="D3" s="4"/>
      <c r="E3" s="21"/>
      <c r="F3" s="4" t="s">
        <v>19</v>
      </c>
    </row>
    <row r="4" spans="1:6">
      <c r="A4" s="4">
        <v>3</v>
      </c>
      <c r="B4" s="36" t="s">
        <v>20</v>
      </c>
      <c r="C4" s="36" t="s">
        <v>21</v>
      </c>
      <c r="D4" s="4">
        <v>1</v>
      </c>
      <c r="E4" s="20"/>
      <c r="F4" s="4" t="s">
        <v>22</v>
      </c>
    </row>
    <row r="5" spans="1:6">
      <c r="A5" s="4">
        <v>4</v>
      </c>
      <c r="B5" s="35" t="s">
        <v>23</v>
      </c>
      <c r="C5" s="35" t="s">
        <v>5</v>
      </c>
      <c r="D5" s="10">
        <v>10</v>
      </c>
      <c r="E5" s="20"/>
      <c r="F5" s="4" t="s">
        <v>6</v>
      </c>
    </row>
    <row r="6" spans="1:6">
      <c r="A6" s="4">
        <v>5</v>
      </c>
      <c r="B6" s="36" t="s">
        <v>24</v>
      </c>
      <c r="C6" s="36" t="s">
        <v>25</v>
      </c>
      <c r="D6" s="10">
        <v>10</v>
      </c>
      <c r="E6" s="20"/>
      <c r="F6" s="4" t="s">
        <v>26</v>
      </c>
    </row>
    <row r="7" spans="1:6">
      <c r="A7" s="4">
        <v>6</v>
      </c>
      <c r="B7" s="36" t="s">
        <v>10</v>
      </c>
      <c r="C7" s="36" t="s">
        <v>11</v>
      </c>
      <c r="D7" s="10">
        <v>2</v>
      </c>
      <c r="E7" s="20"/>
      <c r="F7" s="4" t="s">
        <v>12</v>
      </c>
    </row>
    <row r="8" spans="1:6" hidden="1">
      <c r="A8" s="4">
        <v>8</v>
      </c>
      <c r="B8" s="36" t="s">
        <v>27</v>
      </c>
      <c r="C8" s="36" t="s">
        <v>28</v>
      </c>
      <c r="D8" s="10"/>
      <c r="E8" s="20"/>
      <c r="F8" s="4"/>
    </row>
    <row r="9" spans="1:6" ht="33.6">
      <c r="A9" s="4">
        <v>9</v>
      </c>
      <c r="B9" s="36" t="s">
        <v>30</v>
      </c>
      <c r="C9" s="37" t="s">
        <v>29</v>
      </c>
      <c r="D9" s="10">
        <v>10</v>
      </c>
      <c r="E9" s="20"/>
      <c r="F9" s="4" t="s">
        <v>31</v>
      </c>
    </row>
    <row r="10" spans="1:6">
      <c r="A10" s="4"/>
      <c r="B10" s="36" t="s">
        <v>69</v>
      </c>
      <c r="C10" s="37"/>
      <c r="D10" s="10">
        <v>6</v>
      </c>
      <c r="E10" s="20"/>
      <c r="F10" s="4" t="s">
        <v>70</v>
      </c>
    </row>
    <row r="11" spans="1:6" ht="33.6" hidden="1">
      <c r="A11" s="4">
        <v>10</v>
      </c>
      <c r="B11" s="36" t="s">
        <v>32</v>
      </c>
      <c r="C11" s="36"/>
      <c r="D11" s="10"/>
      <c r="E11" s="20"/>
      <c r="F11" s="7" t="s">
        <v>43</v>
      </c>
    </row>
    <row r="12" spans="1:6" ht="33.6">
      <c r="A12" s="4">
        <v>11</v>
      </c>
      <c r="B12" s="36" t="s">
        <v>40</v>
      </c>
      <c r="C12" s="36" t="s">
        <v>41</v>
      </c>
      <c r="D12" s="10">
        <v>3</v>
      </c>
      <c r="E12" s="19"/>
      <c r="F12" s="7" t="s">
        <v>42</v>
      </c>
    </row>
    <row r="13" spans="1:6">
      <c r="A13" s="4"/>
      <c r="B13" s="36" t="s">
        <v>53</v>
      </c>
      <c r="C13" s="36" t="s">
        <v>57</v>
      </c>
      <c r="D13" s="10">
        <v>4</v>
      </c>
      <c r="E13" s="19"/>
      <c r="F13" s="4" t="s">
        <v>54</v>
      </c>
    </row>
    <row r="14" spans="1:6">
      <c r="A14" s="4"/>
      <c r="B14" s="36" t="s">
        <v>58</v>
      </c>
      <c r="C14" s="36" t="s">
        <v>59</v>
      </c>
      <c r="D14" s="10">
        <v>2</v>
      </c>
      <c r="E14" s="22" t="s">
        <v>68</v>
      </c>
      <c r="F14" s="4" t="s">
        <v>60</v>
      </c>
    </row>
    <row r="15" spans="1:6">
      <c r="A15" s="4"/>
      <c r="B15" s="36" t="s">
        <v>61</v>
      </c>
      <c r="C15" s="36" t="s">
        <v>62</v>
      </c>
      <c r="D15" s="10">
        <v>1</v>
      </c>
      <c r="E15" s="23" t="s">
        <v>67</v>
      </c>
      <c r="F15" s="4" t="s">
        <v>65</v>
      </c>
    </row>
    <row r="16" spans="1:6">
      <c r="A16" s="4"/>
      <c r="B16" s="36" t="s">
        <v>63</v>
      </c>
      <c r="C16" s="36" t="s">
        <v>64</v>
      </c>
      <c r="D16" s="10">
        <v>1</v>
      </c>
      <c r="E16" s="19"/>
      <c r="F16" s="4" t="s">
        <v>66</v>
      </c>
    </row>
    <row r="17" spans="1:7">
      <c r="A17" s="4"/>
      <c r="B17" s="36" t="s">
        <v>71</v>
      </c>
      <c r="C17" s="36" t="s">
        <v>72</v>
      </c>
      <c r="D17" s="10">
        <v>4</v>
      </c>
      <c r="E17" s="19"/>
      <c r="F17" s="4" t="s">
        <v>73</v>
      </c>
    </row>
    <row r="18" spans="1:7">
      <c r="A18" s="4"/>
      <c r="B18" s="36" t="s">
        <v>76</v>
      </c>
      <c r="C18" s="36"/>
      <c r="D18" s="10">
        <v>3</v>
      </c>
      <c r="E18" s="19"/>
      <c r="F18" s="4" t="s">
        <v>75</v>
      </c>
    </row>
    <row r="19" spans="1:7">
      <c r="A19" s="4"/>
      <c r="B19" s="36" t="s">
        <v>78</v>
      </c>
      <c r="C19" s="36"/>
      <c r="D19" s="10"/>
      <c r="E19" s="19"/>
      <c r="F19" s="4"/>
    </row>
    <row r="20" spans="1:7" ht="33.6">
      <c r="A20" s="4"/>
      <c r="B20" s="38" t="s">
        <v>77</v>
      </c>
      <c r="C20" s="38" t="s">
        <v>74</v>
      </c>
      <c r="D20" s="10">
        <v>3</v>
      </c>
      <c r="E20" s="19"/>
      <c r="F20" s="7" t="s">
        <v>43</v>
      </c>
    </row>
    <row r="21" spans="1:7">
      <c r="A21" s="4"/>
      <c r="B21" s="38" t="s">
        <v>79</v>
      </c>
      <c r="C21" s="38" t="s">
        <v>80</v>
      </c>
      <c r="D21" s="10">
        <v>1</v>
      </c>
      <c r="E21" s="19"/>
      <c r="F21" s="7"/>
    </row>
    <row r="22" spans="1:7">
      <c r="A22" s="4"/>
      <c r="B22" s="38" t="s">
        <v>81</v>
      </c>
      <c r="C22" s="38" t="s">
        <v>82</v>
      </c>
      <c r="D22" s="10">
        <v>2</v>
      </c>
      <c r="E22" s="19"/>
      <c r="F22" s="7"/>
    </row>
    <row r="23" spans="1:7">
      <c r="A23" s="4"/>
      <c r="B23" s="36" t="s">
        <v>83</v>
      </c>
      <c r="C23" s="38" t="s">
        <v>84</v>
      </c>
      <c r="D23" s="10">
        <v>1</v>
      </c>
      <c r="E23" s="19"/>
      <c r="F23" s="7"/>
    </row>
    <row r="24" spans="1:7">
      <c r="A24" s="4"/>
      <c r="B24" s="36" t="s">
        <v>85</v>
      </c>
      <c r="C24" s="38" t="s">
        <v>86</v>
      </c>
      <c r="D24" s="10">
        <v>1</v>
      </c>
      <c r="E24" s="19"/>
      <c r="F24" s="7" t="s">
        <v>87</v>
      </c>
      <c r="G24" s="9" t="s">
        <v>88</v>
      </c>
    </row>
    <row r="25" spans="1:7" hidden="1">
      <c r="A25" s="4">
        <v>12</v>
      </c>
      <c r="B25" s="24" t="s">
        <v>44</v>
      </c>
      <c r="C25" s="24" t="s">
        <v>45</v>
      </c>
      <c r="D25" s="4"/>
      <c r="E25" s="20"/>
      <c r="F25" s="4"/>
    </row>
    <row r="26" spans="1:7">
      <c r="A26" s="9"/>
      <c r="B26" s="9"/>
      <c r="C26" s="9"/>
      <c r="D26" s="18">
        <f>SUM(D2:D25)</f>
        <v>65</v>
      </c>
      <c r="E26" s="9"/>
      <c r="F26" s="9"/>
    </row>
    <row r="27" spans="1:7">
      <c r="E27" s="9"/>
    </row>
    <row r="28" spans="1:7">
      <c r="E28" s="9"/>
    </row>
    <row r="29" spans="1:7">
      <c r="E29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E18" sqref="E18"/>
    </sheetView>
  </sheetViews>
  <sheetFormatPr defaultColWidth="9" defaultRowHeight="16.8"/>
  <cols>
    <col min="1" max="1" width="9" style="1"/>
    <col min="2" max="2" width="50.09765625" style="1" customWidth="1"/>
    <col min="3" max="3" width="84.8984375" style="1" customWidth="1"/>
    <col min="4" max="4" width="18.296875" style="1" customWidth="1"/>
    <col min="5" max="5" width="16.59765625" style="1" customWidth="1"/>
    <col min="6" max="6" width="26.296875" style="1" customWidth="1"/>
    <col min="7" max="16384" width="9" style="1"/>
  </cols>
  <sheetData>
    <row r="1" spans="1:7">
      <c r="A1" s="10" t="s">
        <v>0</v>
      </c>
      <c r="B1" s="10" t="s">
        <v>13</v>
      </c>
      <c r="C1" s="10" t="s">
        <v>14</v>
      </c>
      <c r="D1" s="10" t="s">
        <v>15</v>
      </c>
      <c r="E1" s="19"/>
      <c r="F1" s="10" t="s">
        <v>16</v>
      </c>
    </row>
    <row r="2" spans="1:7">
      <c r="A2" s="4">
        <v>1</v>
      </c>
      <c r="B2" s="17" t="s">
        <v>23</v>
      </c>
      <c r="C2" s="17" t="s">
        <v>5</v>
      </c>
      <c r="D2" s="10">
        <v>10</v>
      </c>
      <c r="E2" s="20"/>
      <c r="F2" s="4" t="s">
        <v>6</v>
      </c>
    </row>
    <row r="3" spans="1:7">
      <c r="A3" s="4">
        <v>2</v>
      </c>
      <c r="B3" s="6" t="s">
        <v>150</v>
      </c>
      <c r="C3" s="6" t="s">
        <v>146</v>
      </c>
      <c r="D3" s="10">
        <v>10</v>
      </c>
      <c r="E3" s="20"/>
      <c r="F3" s="4" t="s">
        <v>26</v>
      </c>
    </row>
    <row r="4" spans="1:7">
      <c r="A4" s="4">
        <v>3</v>
      </c>
      <c r="B4" s="6" t="s">
        <v>69</v>
      </c>
      <c r="C4" s="5" t="s">
        <v>145</v>
      </c>
      <c r="D4" s="10">
        <v>6</v>
      </c>
      <c r="E4" s="20"/>
      <c r="F4" s="4" t="s">
        <v>70</v>
      </c>
    </row>
    <row r="5" spans="1:7" ht="33.6">
      <c r="A5" s="4">
        <v>4</v>
      </c>
      <c r="B5" s="6" t="s">
        <v>40</v>
      </c>
      <c r="C5" s="6" t="s">
        <v>147</v>
      </c>
      <c r="D5" s="10">
        <v>3</v>
      </c>
      <c r="E5" s="19"/>
      <c r="F5" s="7" t="s">
        <v>42</v>
      </c>
    </row>
    <row r="6" spans="1:7">
      <c r="A6" s="4">
        <v>5</v>
      </c>
      <c r="B6" s="28" t="s">
        <v>53</v>
      </c>
      <c r="C6" s="6" t="s">
        <v>57</v>
      </c>
      <c r="D6" s="10">
        <v>4</v>
      </c>
      <c r="E6" s="19"/>
      <c r="F6" s="4" t="s">
        <v>54</v>
      </c>
    </row>
    <row r="7" spans="1:7">
      <c r="A7" s="4">
        <v>6</v>
      </c>
      <c r="B7" s="6" t="s">
        <v>141</v>
      </c>
      <c r="C7" s="6" t="s">
        <v>59</v>
      </c>
      <c r="D7" s="10">
        <v>2</v>
      </c>
      <c r="E7" s="22" t="s">
        <v>68</v>
      </c>
      <c r="F7" s="4" t="s">
        <v>60</v>
      </c>
    </row>
    <row r="8" spans="1:7">
      <c r="A8" s="4">
        <v>7</v>
      </c>
      <c r="B8" s="6" t="s">
        <v>61</v>
      </c>
      <c r="C8" s="6" t="s">
        <v>62</v>
      </c>
      <c r="D8" s="10">
        <v>1</v>
      </c>
      <c r="E8" s="23" t="s">
        <v>67</v>
      </c>
      <c r="F8" s="4" t="s">
        <v>65</v>
      </c>
    </row>
    <row r="9" spans="1:7">
      <c r="A9" s="4">
        <v>8</v>
      </c>
      <c r="B9" s="6" t="s">
        <v>63</v>
      </c>
      <c r="C9" s="6" t="s">
        <v>64</v>
      </c>
      <c r="D9" s="10">
        <v>1</v>
      </c>
      <c r="E9" s="19"/>
      <c r="F9" s="4" t="s">
        <v>66</v>
      </c>
    </row>
    <row r="10" spans="1:7">
      <c r="A10" s="4">
        <v>9</v>
      </c>
      <c r="B10" s="6" t="s">
        <v>71</v>
      </c>
      <c r="C10" s="6" t="s">
        <v>72</v>
      </c>
      <c r="D10" s="10">
        <v>4</v>
      </c>
      <c r="E10" s="19"/>
      <c r="F10" s="4" t="s">
        <v>73</v>
      </c>
    </row>
    <row r="11" spans="1:7">
      <c r="A11" s="4">
        <v>10</v>
      </c>
      <c r="B11" s="6" t="s">
        <v>76</v>
      </c>
      <c r="C11" s="6"/>
      <c r="D11" s="10">
        <v>3</v>
      </c>
      <c r="E11" s="19"/>
      <c r="F11" s="4" t="s">
        <v>75</v>
      </c>
    </row>
    <row r="12" spans="1:7" ht="21.75" customHeight="1">
      <c r="A12" s="4">
        <v>11</v>
      </c>
      <c r="B12" s="28" t="s">
        <v>77</v>
      </c>
      <c r="C12" s="28" t="s">
        <v>148</v>
      </c>
      <c r="D12" s="10">
        <v>3</v>
      </c>
      <c r="E12" s="19"/>
      <c r="F12" s="7" t="s">
        <v>43</v>
      </c>
    </row>
    <row r="13" spans="1:7">
      <c r="A13" s="4">
        <v>12</v>
      </c>
      <c r="B13" s="28" t="s">
        <v>79</v>
      </c>
      <c r="C13" s="6" t="s">
        <v>80</v>
      </c>
      <c r="D13" s="10">
        <v>1</v>
      </c>
      <c r="E13" s="19"/>
      <c r="F13" s="7"/>
    </row>
    <row r="14" spans="1:7">
      <c r="A14" s="4">
        <v>13</v>
      </c>
      <c r="B14" s="28" t="s">
        <v>81</v>
      </c>
      <c r="C14" s="28" t="s">
        <v>82</v>
      </c>
      <c r="D14" s="10">
        <v>2</v>
      </c>
      <c r="E14" s="19"/>
      <c r="F14" s="7"/>
    </row>
    <row r="15" spans="1:7">
      <c r="A15" s="4">
        <v>14</v>
      </c>
      <c r="B15" s="6" t="s">
        <v>83</v>
      </c>
      <c r="C15" s="28" t="s">
        <v>149</v>
      </c>
      <c r="D15" s="10">
        <v>1</v>
      </c>
      <c r="E15" s="19"/>
      <c r="F15" s="7"/>
    </row>
    <row r="16" spans="1:7">
      <c r="A16" s="4">
        <v>15</v>
      </c>
      <c r="B16" s="6" t="s">
        <v>151</v>
      </c>
      <c r="C16" s="28" t="s">
        <v>86</v>
      </c>
      <c r="D16" s="10">
        <v>1</v>
      </c>
      <c r="E16" s="19"/>
      <c r="F16" s="7" t="s">
        <v>87</v>
      </c>
      <c r="G16" s="9"/>
    </row>
    <row r="17" spans="1:6">
      <c r="A17" s="9"/>
      <c r="B17" s="9"/>
      <c r="C17" s="9"/>
      <c r="D17" s="18">
        <f>SUM(D2:D16)</f>
        <v>52</v>
      </c>
      <c r="E17" s="9"/>
      <c r="F17" s="9"/>
    </row>
    <row r="18" spans="1:6">
      <c r="E18" s="9"/>
    </row>
    <row r="19" spans="1:6">
      <c r="E19" s="9"/>
    </row>
    <row r="20" spans="1:6">
      <c r="E20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DANH SÁCH (2)</vt:lpstr>
      <vt:lpstr>DATABASE</vt:lpstr>
      <vt:lpstr>TÊN CÔNG TY (2)</vt:lpstr>
      <vt:lpstr>TÊN CÔNG 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Thach Hien</cp:lastModifiedBy>
  <cp:lastPrinted>2025-11-24T08:58:22Z</cp:lastPrinted>
  <dcterms:created xsi:type="dcterms:W3CDTF">2020-09-23T08:03:00Z</dcterms:created>
  <dcterms:modified xsi:type="dcterms:W3CDTF">2026-08-25T11:07:45Z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1033-12.2.0.18283</vt:lpwstr>
  </property>
  <property fmtid="{D5CDD505-2E9C-101B-9397-08002B2CF9AE}" pid="3" name="ICV">
    <vt:lpwstr>7DBA7C2631CC489DB4232F8D9E54E7A4_13</vt:lpwstr>
  </property>
</Properties>
</file>